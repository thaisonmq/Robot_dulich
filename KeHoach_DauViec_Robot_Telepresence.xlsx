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Backlog" sheetId="1" r:id="rId1"/>
    <sheet name="Tổng quan" sheetId="2" r:id="rId2"/>
    <sheet name="Hiện trạng mã" sheetId="3" r:id="rId3"/>
    <sheet name="Tích hợp &amp; dữ liệu" sheetId="4" r:id="rId4"/>
    <sheet name="Nghiệm thu" sheetId="5" r:id="rId5"/>
    <sheet name="Phụ thuộc" sheetId="6" r:id="rId6"/>
    <sheet name="Nguồn đối chiếu" sheetId="7" r:id="rId7"/>
  </sheets>
  <definedNames>
    <definedName name="_xlnm._FilterDatabase" localSheetId="0" hidden="1">Backlog!$A$4:$Q$88</definedName>
    <definedName name="_xlnm._FilterDatabase" localSheetId="2" hidden="1">'Hiện trạng mã'!$A$4:$G$35</definedName>
    <definedName name="_xlnm._FilterDatabase" localSheetId="4" hidden="1">'Nghiệm thu'!$A$4:$K$21</definedName>
    <definedName name="_xlnm._FilterDatabase" localSheetId="3" hidden="1">'Tích hợp &amp; dữ liệu'!$A$4:$J$26</definedName>
  </definedNames>
  <calcPr calcId="124519" fullCalcOnLoad="1"/>
</workbook>
</file>

<file path=xl/sharedStrings.xml><?xml version="1.0" encoding="utf-8"?>
<sst xmlns="http://schemas.openxmlformats.org/spreadsheetml/2006/main" count="1961" uniqueCount="1359">
  <si>
    <t>BACKLOG HOÀN THÀNH DỰ ÁN ROBOT TELEPRESENCE</t>
  </si>
  <si>
    <t>Bấm ô checkbox ở cột A để đánh dấu hoàn thành; toàn bộ dòng sẽ chuyển xanh lá. Các ô đã đánh dấu ban đầu là phần đã được xác minh trong mã hiện tại ở mức demo/simulator.</t>
  </si>
  <si>
    <t>Hoàn thành</t>
  </si>
  <si>
    <t>ID</t>
  </si>
  <si>
    <t>Gói công việc</t>
  </si>
  <si>
    <t>Module</t>
  </si>
  <si>
    <t>Đầu việc</t>
  </si>
  <si>
    <t>Kết quả / Definition of Done</t>
  </si>
  <si>
    <t>Hiện trạng mã</t>
  </si>
  <si>
    <t>Khoảng trống / Cần làm</t>
  </si>
  <si>
    <t>Ưu tiên</t>
  </si>
  <si>
    <t>Trình tự</t>
  </si>
  <si>
    <t>Phụ thuộc</t>
  </si>
  <si>
    <t>Dữ liệu / Hợp đồng tích hợp</t>
  </si>
  <si>
    <t>Bằng chứng / Điểm vào hiện có</t>
  </si>
  <si>
    <t>Nhóm phụ trách</t>
  </si>
  <si>
    <t>Độ lớn</t>
  </si>
  <si>
    <t>Nguồn yêu cầu</t>
  </si>
  <si>
    <t>Ghi chú</t>
  </si>
  <si>
    <t>ARCH-01</t>
  </si>
  <si>
    <t>WP1 - Kiến trúc</t>
  </si>
  <si>
    <t>Dùng chung</t>
  </si>
  <si>
    <t>Chốt ranh giới 4 vùng và sơ đồ triển khai production</t>
  </si>
  <si>
    <t>Có sơ đồ logical/deployment, cổng mạng, trust boundary và owner từng service được duyệt.</t>
  </si>
  <si>
    <t>Đã có kiến trúc logical và sequence cho demo.</t>
  </si>
  <si>
    <t>Bổ sung deployment topology production, HA, reverse proxy TLS, vùng mạng robot/center/admin.</t>
  </si>
  <si>
    <t>Must</t>
  </si>
  <si>
    <t>GĐ1</t>
  </si>
  <si>
    <t>Hạ tầng, Security</t>
  </si>
  <si>
    <t>HTTPS/WSS/WebRTC/TURN/Tailscale</t>
  </si>
  <si>
    <t>docs/architecture.md; docs/Module_HeThong.docx</t>
  </si>
  <si>
    <t>Kiến trúc</t>
  </si>
  <si>
    <t>M</t>
  </si>
  <si>
    <t>Module hệ thống I-II</t>
  </si>
  <si>
    <t>ARCH-02</t>
  </si>
  <si>
    <t>Contracts</t>
  </si>
  <si>
    <t>Chuẩn hóa envelope realtime v1.0</t>
  </si>
  <si>
    <t>Mọi message có message_id, schema_version, robot_id, session_id, sequence, timestamp, ttl_ms; contract test chạy qua CI.</t>
  </si>
  <si>
    <t>Đã có JSON Schema và Pydantic/TypeScript/Python model tương ứng.</t>
  </si>
  <si>
    <t>Mở rộng message types production và chốt quy tắc tương thích ngược.</t>
  </si>
  <si>
    <t>R02, C05, U02</t>
  </si>
  <si>
    <t>src/packages/contracts/message.schema.json</t>
  </si>
  <si>
    <t>src/packages/contracts/message.schema.json; app/schemas/messages.py; simulator/messages.py</t>
  </si>
  <si>
    <t>Backend + Edge</t>
  </si>
  <si>
    <t>S</t>
  </si>
  <si>
    <t>Module hệ thống IX</t>
  </si>
  <si>
    <t>ARCH-03</t>
  </si>
  <si>
    <t>Thống nhất tên trường vận tốc giữa tài liệu và mã</t>
  </si>
  <si>
    <t>Chỉ còn một contract chính thức; adapter cũ có version/migration rõ.</t>
  </si>
  <si>
    <t>Mã hiện tại dùng linear_x/angular_z; tài liệu mockup dùng vx/wz.</t>
  </si>
  <si>
    <t>Chốt canonical payload, cập nhật schema, docs, simulator, frontend và test.</t>
  </si>
  <si>
    <t>ARCH-02, R03</t>
  </si>
  <si>
    <t>control.velocity payload</t>
  </si>
  <si>
    <t>src/apps/center-frontend/src/transports/ControlTransport.ts; docs/websocket-protocol.md</t>
  </si>
  <si>
    <t>Backend + Edge + Frontend</t>
  </si>
  <si>
    <t>Hai tài liệu + mã hiện tại</t>
  </si>
  <si>
    <t>Điểm lệch contract cần xử lý trước khi nối ROS 2.</t>
  </si>
  <si>
    <t>ARCH-04</t>
  </si>
  <si>
    <t>Chuẩn hóa error_code và correlation_id</t>
  </si>
  <si>
    <t>REST/WS trả mã AUTH_*, COMMAND_*, ROBOT_*, NAV_*, SAFETY_*, MEDIA_*, AI_* ổn định; log truy được theo correlation_id.</t>
  </si>
  <si>
    <t>Hiện chủ yếu dùng HTTP detail tiếng Việt và trạng thái ACK đơn giản.</t>
  </si>
  <si>
    <t>Tạo error schema, middleware correlation, mapping lỗi và contract tests.</t>
  </si>
  <si>
    <t>C01, C05, C12</t>
  </si>
  <si>
    <t>ErrorResponse; command.ack</t>
  </si>
  <si>
    <t>src/apps/center-backend/app/api</t>
  </si>
  <si>
    <t>Backend</t>
  </si>
  <si>
    <t>Module hệ thống IX.4</t>
  </si>
  <si>
    <t>ARCH-05</t>
  </si>
  <si>
    <t>Dev workflow</t>
  </si>
  <si>
    <t>Thiết lập CI cho backend, frontend, simulator và E2E</t>
  </si>
  <si>
    <t>PR chạy lint/typecheck/unit/integration; E2E chạy trên Compose; lưu artifact và coverage.</t>
  </si>
  <si>
    <t>Có test và lệnh chạy nhưng chưa có pipeline CI trong repo.</t>
  </si>
  <si>
    <t>Tạo workflow CI, cache dependency, quality gate và báo cáo coverage.</t>
  </si>
  <si>
    <t>Test suite hiện có</t>
  </si>
  <si>
    <t>pytest; vitest; playwright; docker compose</t>
  </si>
  <si>
    <t>docs/testing.md; demo/e2e</t>
  </si>
  <si>
    <t>DevOps</t>
  </si>
  <si>
    <t>Module hệ thống XI</t>
  </si>
  <si>
    <t>ARCH-06</t>
  </si>
  <si>
    <t>Dữ liệu mẫu</t>
  </si>
  <si>
    <t>Hoàn thiện bộ simulator/mock cho mọi tích hợp chưa có</t>
  </si>
  <si>
    <t>Có MCU/base, ROS 2/Nav2, translation, Vision/RAG, safety, BMS mock với lỗi/timeout cấu hình được.</t>
  </si>
  <si>
    <t>Đã có robot simulator cho motion/navigation/media; thiếu các service AI và phần cứng.</t>
  </si>
  <si>
    <t>Bổ sung mock server/nodes và fixture cho happy path + fault injection.</t>
  </si>
  <si>
    <t>GĐ1-GĐ6</t>
  </si>
  <si>
    <t>Các payload tại sheet Tích hợp &amp; dữ liệu</t>
  </si>
  <si>
    <t>demo/robot-simulator; sample-data</t>
  </si>
  <si>
    <t>QA + các nhóm module</t>
  </si>
  <si>
    <t>L</t>
  </si>
  <si>
    <t>Module hệ thống X.2</t>
  </si>
  <si>
    <t>ARCH-07</t>
  </si>
  <si>
    <t>Security</t>
  </si>
  <si>
    <t>Quản lý secret và cấu hình theo môi trường</t>
  </si>
  <si>
    <t>Không có secret mặc định yếu ở production; secret rotate được; file edge 0600; có checklist bàn giao.</t>
  </si>
  <si>
    <t>Đã tách .env, edge state 0600 và không đưa secret server xuống robot.</t>
  </si>
  <si>
    <t>Bổ sung vault/KMS, rotation, production validation và secret scan CI.</t>
  </si>
  <si>
    <t>GĐ3</t>
  </si>
  <si>
    <t>C02, R02</t>
  </si>
  <si>
    <t>JWT/LIVEKIT/device credential/TURN credential</t>
  </si>
  <si>
    <t>.env.example; simulator/client.py</t>
  </si>
  <si>
    <t>Security + DevOps</t>
  </si>
  <si>
    <t>Module hệ thống R02/C02</t>
  </si>
  <si>
    <t>R01-01</t>
  </si>
  <si>
    <t>WP2 - Robot &amp; Safety</t>
  </si>
  <si>
    <t>R01</t>
  </si>
  <si>
    <t>Chuẩn hóa systemd/bringup trên Orange Pi 5</t>
  </si>
  <si>
    <t>Các service khởi động đúng thứ tự sau reboot/mất điện; Restart/watchdog/startup timeout được kiểm thử.</t>
  </si>
  <si>
    <t>Có unit systemd cho edge simulator container.</t>
  </si>
  <si>
    <t>Tách unit cho robot-agent, ROS 2, media, audio, display, safety; dependency và safe boot.</t>
  </si>
  <si>
    <t>Orange Pi image</t>
  </si>
  <si>
    <t>systemd unit + health readiness</t>
  </si>
  <si>
    <t>demo/robot-simulator/deploy/rovera-robot.service</t>
  </si>
  <si>
    <t>Edge/DevOps</t>
  </si>
  <si>
    <t>Module hệ thống R01</t>
  </si>
  <si>
    <t>R01-02</t>
  </si>
  <si>
    <t>Health tài nguyên và thiết bị</t>
  </si>
  <si>
    <t>Gửi CPU/RAM/nhiệt/disk/uptime và health camera/LiDAR/MCU/network; READY bị chặn khi safety dependency lỗi.</t>
  </si>
  <si>
    <t>robot.health hiện có pin/mạng/camera/audio/navigation mô phỏng.</t>
  </si>
  <si>
    <t>Đọc metrics Linux và diagnostic ROS 2 thật; định nghĩa ngưỡng degraded/fault.</t>
  </si>
  <si>
    <t>GĐ1-GĐ2</t>
  </si>
  <si>
    <t>R06, R07, R09, R13</t>
  </si>
  <si>
    <t>robot.health</t>
  </si>
  <si>
    <t>demo/robot-simulator/simulator/client.py; app/services/hub.py</t>
  </si>
  <si>
    <t>Edge</t>
  </si>
  <si>
    <t>R01-03</t>
  </si>
  <si>
    <t>Log rotation và giới hạn tài nguyên</t>
  </si>
  <si>
    <t>Disk không đầy sau soak test; media/AI bị giới hạn CPU/RAM/IO và không làm trễ safety.</t>
  </si>
  <si>
    <t>Docker restart đã có; chưa có policy resource/log production.</t>
  </si>
  <si>
    <t>Cấu hình journald/logrotate/cgroup, quota và cảnh báo dung lượng.</t>
  </si>
  <si>
    <t>C12</t>
  </si>
  <si>
    <t>system metrics + service events</t>
  </si>
  <si>
    <t>src/infrastructure/docker-compose.yml</t>
  </si>
  <si>
    <t>R02-01</t>
  </si>
  <si>
    <t>R02</t>
  </si>
  <si>
    <t>Credential riêng, claim/enroll và JWT ngắn hạn</t>
  </si>
  <si>
    <t>Mỗi robot có credential riêng, state 0600, JWT 15 phút; robot khác không dùng chéo credential.</t>
  </si>
  <si>
    <t>Đã có quick-add, claim/enroll, hash credential và robot JWT.</t>
  </si>
  <si>
    <t>Bổ sung rotate/revoke production, audit và secure element/TPM nếu có.</t>
  </si>
  <si>
    <t>C02, C03</t>
  </si>
  <si>
    <t>/api/robot-auth/claim|token|enroll</t>
  </si>
  <si>
    <t>app/api/robot_auth.py; simulator/client.py; tests/test_integration.py</t>
  </si>
  <si>
    <t>Module hệ thống R02/C03</t>
  </si>
  <si>
    <t>R02-02</t>
  </si>
  <si>
    <t>Outbound WSS, heartbeat và reconnect không replay</t>
  </si>
  <si>
    <t>Mất mạng không block ROS; reconnect backoff+jitter ≤15s; không phát lại joystick cũ.</t>
  </si>
  <si>
    <t>Simulator đã thực hiện WSS outbound, heartbeat, backoff và dừng motion khi ngắt.</t>
  </si>
  <si>
    <t>Port sang Robot Agent Orange Pi thật và test chuyển mạng Wi-Fi/4G/5G.</t>
  </si>
  <si>
    <t>C05, R03, R07</t>
  </si>
  <si>
    <t>robot.heartbeat; gateway.welcome</t>
  </si>
  <si>
    <t>demo/robot-simulator/simulator/client.py</t>
  </si>
  <si>
    <t>Module hệ thống R02</t>
  </si>
  <si>
    <t>Đã hoàn thành ở simulator, chưa phải edge ROS 2 production.</t>
  </si>
  <si>
    <t>R02-03</t>
  </si>
  <si>
    <t>Idempotency và validation command tại robot</t>
  </si>
  <si>
    <t>Loại message_id trùng; kiểm schema/version/session/sequence/timestamp/TTL trước khi gọi ROS.</t>
  </si>
  <si>
    <t>Simulator có model, expired(), processed_ids và sequence.</t>
  </si>
  <si>
    <t>Thêm giới hạn bộ nhớ/TTL cho dedupe, capability validation và error_code.</t>
  </si>
  <si>
    <t>command envelope</t>
  </si>
  <si>
    <t>simulator/messages.py; simulator/client.py</t>
  </si>
  <si>
    <t>R02-04</t>
  </si>
  <si>
    <t>Telemetry buffer có giới hạn khi offline</t>
  </si>
  <si>
    <t>Chỉ buffer telemetry quan trọng với quota; joystick không queue; flush theo sampling sau reconnect.</t>
  </si>
  <si>
    <t>Không thấy hàng đợi telemetry offline; dữ liệu mất khi ngắt là hành vi demo.</t>
  </si>
  <si>
    <t>Thiết kế ring buffer, retention và backpressure không ảnh hưởng control.</t>
  </si>
  <si>
    <t>Should</t>
  </si>
  <si>
    <t>C06</t>
  </si>
  <si>
    <t>robot.health/pose/event</t>
  </si>
  <si>
    <t>R03-01</t>
  </si>
  <si>
    <t>R03</t>
  </si>
  <si>
    <t>Tạo ROS 2 Command Gateway</t>
  </si>
  <si>
    <t>Node nhận command đã xác thực và publish topic/service/action; không có đường network xuống motor trực tiếp.</t>
  </si>
  <si>
    <t>Chưa có ROS 2 workspace; simulator xử lý lệnh nội bộ.</t>
  </si>
  <si>
    <t>Tạo package, lifecycle node, command registry và launch file.</t>
  </si>
  <si>
    <t>GĐ1-GĐ3</t>
  </si>
  <si>
    <t>R02, R04, R05, R07</t>
  </si>
  <si>
    <t>control.velocity/stop; navigation.goal/cancel</t>
  </si>
  <si>
    <t>docs/integration-robot.md</t>
  </si>
  <si>
    <t>ROS 2</t>
  </si>
  <si>
    <t>Module hệ thống R03</t>
  </si>
  <si>
    <t>R03-02</t>
  </si>
  <si>
    <t>Map teleop sang geometry_msgs/Twist qua twist_mux</t>
  </si>
  <si>
    <t>linear/angular được clamp; teleop/autonomy arbitration đúng priority; STOP ra zero ngay.</t>
  </si>
  <si>
    <t>Chỉ có MotionSimulator.</t>
  </si>
  <si>
    <t>Viết adapter ROS 2, QoS, rate/deadband/acceleration limit và unit test mock node.</t>
  </si>
  <si>
    <t>R03-01, R04, R07</t>
  </si>
  <si>
    <t>/teleop/cmd_vel; geometry_msgs/Twist</t>
  </si>
  <si>
    <t>demo/robot-simulator/simulator/motion.py</t>
  </si>
  <si>
    <t>Module hệ thống R03-R04</t>
  </si>
  <si>
    <t>R03-03</t>
  </si>
  <si>
    <t>Map mission sang Nav2 action và lifecycle status</t>
  </si>
  <si>
    <t>ACK tách khỏi accepted/running/completed/failed/cancelled; timeout/cancel có mã lỗi ổn định.</t>
  </si>
  <si>
    <t>Navigation simulator trả trạng thái cơ bản.</t>
  </si>
  <si>
    <t>Tích hợp NavigateToPose/waypoint action, feedback, cancel, recovery và error mapping.</t>
  </si>
  <si>
    <t>GĐ2</t>
  </si>
  <si>
    <t>R05, C05</t>
  </si>
  <si>
    <t>navigation.goal/status/cancel</t>
  </si>
  <si>
    <t>demo/robot-simulator/simulator/navigation.py</t>
  </si>
  <si>
    <t>Module hệ thống R03/R05</t>
  </si>
  <si>
    <t>R04-01</t>
  </si>
  <si>
    <t>R04</t>
  </si>
  <si>
    <t>Input joystick/keyboard 10-20 Hz, dead-man và smoothing</t>
  </si>
  <si>
    <t>Giữ phím gửi 20 Hz; nhả/blur/hidden/unmount dừng; ramp không gây giật.</t>
  </si>
  <si>
    <t>Frontend đã có input manager, 20 Hz, ramp 220 ms và test keyboard.</t>
  </si>
  <si>
    <t>Đo trên robot thật, thêm joystick/gamepad theo phạm vi và hiệu chỉnh limit.</t>
  </si>
  <si>
    <t>GĐ3-GĐ5</t>
  </si>
  <si>
    <t>control.velocity ttl=300ms</t>
  </si>
  <si>
    <t>useTeleoperation.ts; utils/input.ts; tests/input.test.ts</t>
  </si>
  <si>
    <t>Frontend + ROS 2</t>
  </si>
  <si>
    <t>Module hệ thống R04</t>
  </si>
  <si>
    <t>Hoàn thành phía web/simulator.</t>
  </si>
  <si>
    <t>R04-02</t>
  </si>
  <si>
    <t>Watchdog dừng khi mất lệnh</t>
  </si>
  <si>
    <t>Robot phát zero/hardware stop trong ≤500 ms khi không có command/heartbeat.</t>
  </si>
  <si>
    <t>Simulator watchdog 400 ms và server gửi stop khi WS/session đóng.</t>
  </si>
  <si>
    <t>Triển khai watchdog độc lập trong ROS 2 + MCU và đo thời gian thực.</t>
  </si>
  <si>
    <t>R07, R08</t>
  </si>
  <si>
    <t>control.stop; watchdog heartbeat</t>
  </si>
  <si>
    <t>simulator/motion.py; api/websockets.py</t>
  </si>
  <si>
    <t>ROS 2 + Firmware</t>
  </si>
  <si>
    <t>AT-03</t>
  </si>
  <si>
    <t>R04-03</t>
  </si>
  <si>
    <t>Fault test packet loss/delay/reorder/duplicate/reconnect</t>
  </si>
  <si>
    <t>Có báo cáo đo latency, stop time; không vượt speed limit và không replay.</t>
  </si>
  <si>
    <t>Có unit test TTL/sequence và reconnect logic; chưa có network fault suite.</t>
  </si>
  <si>
    <t>Dùng tc/netem hoặc proxy fault, tự động hóa test và lưu metric.</t>
  </si>
  <si>
    <t>C05, R07</t>
  </si>
  <si>
    <t>sequence/timestamp/ttl_ms</t>
  </si>
  <si>
    <t>tests/test_protocol.py; docs/testing.md</t>
  </si>
  <si>
    <t>QA + Edge</t>
  </si>
  <si>
    <t>Module hệ thống R04/X</t>
  </si>
  <si>
    <t>R05-01</t>
  </si>
  <si>
    <t>R05</t>
  </si>
  <si>
    <t>Dựng bản đồ thật, localization và Nav2</t>
  </si>
  <si>
    <t>Robot đi đến waypoint với sai số đã chốt, có map/version và pose ổn định.</t>
  </si>
  <si>
    <t>Map SVG/JSON mẫu và route Manhattan; chưa có Nav2.</t>
  </si>
  <si>
    <t>Khảo sát site, SLAM, AMCL/localization, costmap, planner/controller/BT.</t>
  </si>
  <si>
    <t>R06, C11</t>
  </si>
  <si>
    <t>map package; NavigateToPose</t>
  </si>
  <si>
    <t>sample-data/maps/map-001.json; app/services/maps.py</t>
  </si>
  <si>
    <t>ROS 2 + Field</t>
  </si>
  <si>
    <t>XL</t>
  </si>
  <si>
    <t>Module hệ thống R05</t>
  </si>
  <si>
    <t>R05-02</t>
  </si>
  <si>
    <t>Waypoint, no-go, speed zone và validation</t>
  </si>
  <si>
    <t>Không nhận goal ngoài vùng; robot/center dùng cùng map version; zone giới hạn tốc độ có hiệu lực.</t>
  </si>
  <si>
    <t>Có destination whitelist mẫu nhưng chưa có polygon/no-go/version handshake.</t>
  </si>
  <si>
    <t>Mở rộng schema map/location/zone, publish package và validate hai phía.</t>
  </si>
  <si>
    <t>C11, R07</t>
  </si>
  <si>
    <t>location_id/map_version/zones</t>
  </si>
  <si>
    <t>sample-data/maps/map-001.json</t>
  </si>
  <si>
    <t>Backend + ROS 2</t>
  </si>
  <si>
    <t>Module hệ thống R05/C11</t>
  </si>
  <si>
    <t>R05-03</t>
  </si>
  <si>
    <t>Pause/resume/cancel/recovery mission</t>
  </si>
  <si>
    <t>Cancel phản hồi nhanh; stuck/blocked có recovery giới hạn; trạng thái phản ánh robot thật.</t>
  </si>
  <si>
    <t>Có goal/cancel và simulator status; chưa có pause/resume/recovery.</t>
  </si>
  <si>
    <t>Bổ sung protocol và Nav2 behavior tree/recovery policy.</t>
  </si>
  <si>
    <t>R03-03, C05</t>
  </si>
  <si>
    <t>navigation.pause/resume/status</t>
  </si>
  <si>
    <t>app/api/navigation.py; simulator/navigation.py</t>
  </si>
  <si>
    <t>ROS 2 + Backend</t>
  </si>
  <si>
    <t>R06-01</t>
  </si>
  <si>
    <t>R06</t>
  </si>
  <si>
    <t>Tích hợp driver encoder/IMU/LiDAR/cliff/depth</t>
  </si>
  <si>
    <t>Topic đúng timestamp/frame; sensor timeout/outlier được diagnostic và đưa sang safety.</t>
  </si>
  <si>
    <t>Không có driver/ROS 2 sensor trong repo.</t>
  </si>
  <si>
    <t>Chọn thiết bị, viết/tích hợp driver, QoS và diagnostic aggregator.</t>
  </si>
  <si>
    <t>R08, R07</t>
  </si>
  <si>
    <t>/scan /imu /odom diagnostics</t>
  </si>
  <si>
    <t>Chưa có</t>
  </si>
  <si>
    <t>ROS 2 + Hardware</t>
  </si>
  <si>
    <t>Module hệ thống R06</t>
  </si>
  <si>
    <t>R06-02</t>
  </si>
  <si>
    <t>Calibration, TF tree và sensor fusion</t>
  </si>
  <si>
    <t>IMU/wheel separation/radius được hiệu chỉnh; TF hợp lệ; localization không trôi quá ngưỡng.</t>
  </si>
  <si>
    <t>Chưa có.</t>
  </si>
  <si>
    <t>Cấu hình robot_localization, clock sync, calibration procedure và regression bag.</t>
  </si>
  <si>
    <t>tf/odom/map/base_link</t>
  </si>
  <si>
    <t>R07-01</t>
  </si>
  <si>
    <t>R07</t>
  </si>
  <si>
    <t>Thiết kế Safety priority matrix</t>
  </si>
  <si>
    <t>E-stop &gt; collision/cliff &gt; watchdog &gt; teleop &gt; navigation; mọi trạng thái và transition được test.</t>
  </si>
  <si>
    <t>Có stop khi disconnect/watchdog ở simulator, chưa có Safety Manager.</t>
  </si>
  <si>
    <t>Viết safety state machine, reason code và tài liệu hazard/priority.</t>
  </si>
  <si>
    <t>R04, R05, R06, R08, R13</t>
  </si>
  <si>
    <t>safety.state/event</t>
  </si>
  <si>
    <t>simulator/motion.py; docs/Module_HeThong.docx</t>
  </si>
  <si>
    <t>Safety + ROS 2</t>
  </si>
  <si>
    <t>Module hệ thống R07</t>
  </si>
  <si>
    <t>R07-02</t>
  </si>
  <si>
    <t>Collision Monitor và vùng STOP/SLOW</t>
  </si>
  <si>
    <t>Vật cản/cliff gây slow/stop trong giới hạn; ứng dụng không bypass được.</t>
  </si>
  <si>
    <t>Cấu hình Nav2 Collision Monitor, sensor zones và safe_cmd_vel output.</t>
  </si>
  <si>
    <t>R06, R07-01</t>
  </si>
  <si>
    <t>cmd_vel_in → safe_cmd_vel</t>
  </si>
  <si>
    <t>R07-03</t>
  </si>
  <si>
    <t>So sánh commanded/actual velocity và phát fault</t>
  </si>
  <si>
    <t>Kẹt bánh/motor runaway/encoder stale được phát hiện, stop và log nguyên nhân.</t>
  </si>
  <si>
    <t>Tạo monitor, threshold theo tốc độ, debounce và fault injection.</t>
  </si>
  <si>
    <t>R08, R06</t>
  </si>
  <si>
    <t>motor feedback + safety event</t>
  </si>
  <si>
    <t>Safety + Firmware</t>
  </si>
  <si>
    <t>R07-04</t>
  </si>
  <si>
    <t>E-stop vật lý và UI end-to-end</t>
  </si>
  <si>
    <t>E-stop vật lý cắt công suất độc lập Linux; UI stop/physical stop hiển thị và audit; reset có điều kiện.</t>
  </si>
  <si>
    <t>UI chỉ có ngắt kết nối/STOP theo input; chưa có E-stop thật hoặc safety event.</t>
  </si>
  <si>
    <t>Thiết kế mạch, firmware input, ROS state, API/event và nút UI cố định.</t>
  </si>
  <si>
    <t>GĐ1-GĐ5</t>
  </si>
  <si>
    <t>R08, C12, U02</t>
  </si>
  <si>
    <t>control.stop; safety.estop</t>
  </si>
  <si>
    <t>DashboardPage.tsx</t>
  </si>
  <si>
    <t>Hardware + Firmware + Full stack</t>
  </si>
  <si>
    <t>AT-04</t>
  </si>
  <si>
    <t>R08-01</t>
  </si>
  <si>
    <t>R08</t>
  </si>
  <si>
    <t>Thiết kế protocol CAN/UART Orange Pi-MCU</t>
  </si>
  <si>
    <t>Frame có version, sequence, CRC, ACK, timeout 200-500 ms; fuzz/duplicate/CRC test đạt.</t>
  </si>
  <si>
    <t>Chưa có firmware/protocol.</t>
  </si>
  <si>
    <t>Chốt transport, frame layout, units, endian, error codes và simulator.</t>
  </si>
  <si>
    <t>R03, R07</t>
  </si>
  <si>
    <t>SET_VELOCITY/STOP/STATUS/FAULT</t>
  </si>
  <si>
    <t>Sheet Tích hợp &amp; dữ liệu</t>
  </si>
  <si>
    <t>Firmware + ROS 2</t>
  </si>
  <si>
    <t>Module hệ thống R08</t>
  </si>
  <si>
    <t>R08-02</t>
  </si>
  <si>
    <t>Firmware motor PID/encoder/brake/watchdog</t>
  </si>
  <si>
    <t>Rút cáp/treo Orange Pi robot dừng; CRC sai/lệnh cũ không chạy; motor feedback ổn định.</t>
  </si>
  <si>
    <t>Lập state machine, PID, current/speed limit, hardware watchdog và HIL test.</t>
  </si>
  <si>
    <t>R08-01, phần cứng</t>
  </si>
  <si>
    <t>MCU status telemetry</t>
  </si>
  <si>
    <t>Firmware</t>
  </si>
  <si>
    <t>R08-03</t>
  </si>
  <si>
    <t>Bootloader/update có recovery</t>
  </si>
  <si>
    <t>Update lỗi/mất điện không brick MCU; có rollback hoặc recovery procedure.</t>
  </si>
  <si>
    <t>Chọn bootloader, ký image/checksum và test failure mode.</t>
  </si>
  <si>
    <t>GĐ7</t>
  </si>
  <si>
    <t>C13</t>
  </si>
  <si>
    <t>firmware manifest</t>
  </si>
  <si>
    <t>Module hệ thống R08/C13</t>
  </si>
  <si>
    <t>R09-01</t>
  </si>
  <si>
    <t>WP3 - WebRTC</t>
  </si>
  <si>
    <t>R09</t>
  </si>
  <si>
    <t>Capture file/RTSP/USB và publish LiveKit</t>
  </si>
  <si>
    <t>Nguồn media chọn được trên edge; reconnect khi nguồn lỗi; browser nhận video.</t>
  </si>
  <si>
    <t>Đã có FFmpeg adapters file/RTSP/V4L2, UI cấu hình/preview và LiveKit publish.</t>
  </si>
  <si>
    <t>Xác minh trên Orange Pi/camera thật; bổ sung CSI nếu dùng.</t>
  </si>
  <si>
    <t>GĐ4</t>
  </si>
  <si>
    <t>C07, U02</t>
  </si>
  <si>
    <t>LiveKit track camera</t>
  </si>
  <si>
    <t>simulator/media.py; RobotConfigurationPage.tsx</t>
  </si>
  <si>
    <t>Media/Edge</t>
  </si>
  <si>
    <t>Module hệ thống R09</t>
  </si>
  <si>
    <t>R09-02</t>
  </si>
  <si>
    <t>Hardware encode H.264 Rockchip MPP/GStreamer</t>
  </si>
  <si>
    <t>1080p/25fps không dùng software encode quá tải; CPU/nhiệt đạt ngưỡng trong soak test.</t>
  </si>
  <si>
    <t>Pipeline hiện decode FFmpeg sang raw I420 rồi LiveKit SDK encode; chưa chứng minh MPP/GStreamer zero-copy.</t>
  </si>
  <si>
    <t>Benchmark Orange Pi, xây GStreamer/MPP pipeline và đo CPU/GPU/nhiệt.</t>
  </si>
  <si>
    <t>Orange Pi camera driver</t>
  </si>
  <si>
    <t>H.264/WebRTC</t>
  </si>
  <si>
    <t>simulator/media.py</t>
  </si>
  <si>
    <t>R09-03</t>
  </si>
  <si>
    <t>Frozen-frame detection, adaptive bitrate và reconnect</t>
  </si>
  <si>
    <t>Camera treo được phát hiện; bitrate giảm khi loss; media tự phục hồi khi chuyển mạng.</t>
  </si>
  <si>
    <t>Edge có frame timeout/reconnect; browser có frame watchdog/recovery; bitrate cấu hình tĩnh.</t>
  </si>
  <si>
    <t>Nối WebRTC stats/packet loss vào adaptation và robot.health.</t>
  </si>
  <si>
    <t>C06, C07</t>
  </si>
  <si>
    <t>WebRTC stats; robot.health</t>
  </si>
  <si>
    <t>simulator/media.py; MediaTransport.ts</t>
  </si>
  <si>
    <t>Media + Frontend</t>
  </si>
  <si>
    <t>R09-04</t>
  </si>
  <si>
    <t>Snapshot/PTZ và lưu ảnh theo session</t>
  </si>
  <si>
    <t>PTZ có limit/ACK; snapshot gắn session/time, object key, signed URL và retention.</t>
  </si>
  <si>
    <t>Chưa có message type/API/storage; camera config chỉ chọn nguồn.</t>
  </si>
  <si>
    <t>Thiết kế camera.ptz/photo.capture, object storage, photos API và UI.</t>
  </si>
  <si>
    <t>GĐ4-GĐ5</t>
  </si>
  <si>
    <t>C05, C09, U02</t>
  </si>
  <si>
    <t>camera.ptz; photo.capture; /sessions/{id}/photos</t>
  </si>
  <si>
    <t>Full stack + Media</t>
  </si>
  <si>
    <t>Mockup AT-09</t>
  </si>
  <si>
    <t>R09-05</t>
  </si>
  <si>
    <t>Soak test video 72 giờ qua Wi-Fi/4G/5G/NAT</t>
  </si>
  <si>
    <t>Không leak/restart ngoài policy; latency/bitrate/reconnect/temperature có báo cáo.</t>
  </si>
  <si>
    <t>Có unit media, chưa có soak/field report.</t>
  </si>
  <si>
    <t>Tạo test harness, dashboard metric và kịch bản nhiều nhà mạng.</t>
  </si>
  <si>
    <t>WebRTC stats</t>
  </si>
  <si>
    <t>docs/testing.md</t>
  </si>
  <si>
    <t>QA + Media</t>
  </si>
  <si>
    <t>Module hệ thống R09/X</t>
  </si>
  <si>
    <t>R10-01</t>
  </si>
  <si>
    <t>WP5 - Audio DSP</t>
  </si>
  <si>
    <t>R10</t>
  </si>
  <si>
    <t>Chọn mic array/audio interface/loa và bố trí cơ khí</t>
  </si>
  <si>
    <t>Có BOM, playback reference AEC, clock ổn định, không clipping ở khoảng cách thiết kế.</t>
  </si>
  <si>
    <t>Simulator hỗ trợ audio source/silent track; chưa có phần cứng audio.</t>
  </si>
  <si>
    <t>Đánh giá 4-6 mic, sound card, amp/loa, giảm rung/gió và đo delay.</t>
  </si>
  <si>
    <t>Hardware</t>
  </si>
  <si>
    <t>PCM capture/playback + AEC reference</t>
  </si>
  <si>
    <t>Robot_Telepresence...docx VI</t>
  </si>
  <si>
    <t>Audio + Hardware</t>
  </si>
  <si>
    <t>Mockup VI</t>
  </si>
  <si>
    <t>R10-02</t>
  </si>
  <si>
    <t>Pipeline HPF/beamforming/AEC/NS/AGC/VAD</t>
  </si>
  <si>
    <t>Không echo loop, WER đạt mục tiêu 4 môi trường; audio DSP 20-60 ms điển hình.</t>
  </si>
  <si>
    <t>LiveKit audio hai chiều cơ bản; không có DSP/VAD.</t>
  </si>
  <si>
    <t>Tích hợp WebRTC APM/RNNoise/vendor DSP, tuning và metrics.</t>
  </si>
  <si>
    <t>R10-01, C08</t>
  </si>
  <si>
    <t>PCM 16/48kHz, VAD events</t>
  </si>
  <si>
    <t>Audio/Edge</t>
  </si>
  <si>
    <t>R10-03</t>
  </si>
  <si>
    <t>Direct/full-duplex/PTT/conversation mode</t>
  </si>
  <si>
    <t>Chế độ rõ trên UI; barge-in hoạt động; có PTT fallback khi ồn/mạng xấu.</t>
  </si>
  <si>
    <t>Browser có bật/tắt mic và loa; chưa có mode/PTT/barge-in.</t>
  </si>
  <si>
    <t>Bổ sung state machine, signaling mode, giảm tốc/dừng conversation mode.</t>
  </si>
  <si>
    <t>GĐ4-GĐ6</t>
  </si>
  <si>
    <t>R07, C08, U04</t>
  </si>
  <si>
    <t>audio.mode; vad.start/end; tts.cancel</t>
  </si>
  <si>
    <t>Audio + Frontend</t>
  </si>
  <si>
    <t>Mockup VI.3</t>
  </si>
  <si>
    <t>R11-01</t>
  </si>
  <si>
    <t>WP4 - Web UI</t>
  </si>
  <si>
    <t>R11</t>
  </si>
  <si>
    <t>Xây robot display kiosk</t>
  </si>
  <si>
    <t>Tự khởi động/phục hồi; hiển thị video khách lớn, phụ đề 1-2 dòng, trạng thái camera/mic/privacy.</t>
  </si>
  <si>
    <t>Không có app robot-display.</t>
  </si>
  <si>
    <t>Tạo ứng dụng kiosk, local health, session states và mất mạng/end session UX.</t>
  </si>
  <si>
    <t>GĐ5</t>
  </si>
  <si>
    <t>R01, R10, C08</t>
  </si>
  <si>
    <t>session.state; translation.final</t>
  </si>
  <si>
    <t>Frontend Edge</t>
  </si>
  <si>
    <t>Module hệ thống R11/Mockup Hình 6</t>
  </si>
  <si>
    <t>R12-01</t>
  </si>
  <si>
    <t>WP6 - AI</t>
  </si>
  <si>
    <t>R12</t>
  </si>
  <si>
    <t>Benchmark AI nhẹ trên RK3588S/RKNN</t>
  </si>
  <si>
    <t>Model detection/VAD chạy process riêng, có FPS/CPU/NPU/nhiệt; tự hạ cấp khi quá tải.</t>
  </si>
  <si>
    <t>Chọn model, convert RKNN, resource limit và overload test với Nav2/Safety.</t>
  </si>
  <si>
    <t>Could</t>
  </si>
  <si>
    <t>GĐ6</t>
  </si>
  <si>
    <t>R09, R07</t>
  </si>
  <si>
    <t>edge.ai.detection/health</t>
  </si>
  <si>
    <t>Edge AI</t>
  </si>
  <si>
    <t>Module hệ thống R12</t>
  </si>
  <si>
    <t>R13-01</t>
  </si>
  <si>
    <t>R13</t>
  </si>
  <si>
    <t>Tích hợp BMS và power telemetry</t>
  </si>
  <si>
    <t>Đọc SOC/voltage/current/temp/charging/fault; mất dữ liệu kích hoạt policy.</t>
  </si>
  <si>
    <t>Battery hiện là giá trị mô phỏng.</t>
  </si>
  <si>
    <t>Chốt BMS protocol, driver, calibration và robot.health mapping.</t>
  </si>
  <si>
    <t>R07, C06</t>
  </si>
  <si>
    <t>battery telemetry</t>
  </si>
  <si>
    <t>app/services/hub.py; sample-data/robots/robots.json</t>
  </si>
  <si>
    <t>Hardware + ROS 2</t>
  </si>
  <si>
    <t>Module hệ thống R13</t>
  </si>
  <si>
    <t>R13-02</t>
  </si>
  <si>
    <t>Ngưỡng warn/critical/shutdown và power integrity</t>
  </si>
  <si>
    <t>Orange Pi không reset khi motor/modem tải; không nhận tour khi pin thiếu; shutdown an toàn.</t>
  </si>
  <si>
    <t>Chưa có policy thật.</t>
  </si>
  <si>
    <t>Thiết kế DC-DC, đo sụt áp, state machine nguồn và test tải xấu nhất.</t>
  </si>
  <si>
    <t>R07, R05</t>
  </si>
  <si>
    <t>power.state/event</t>
  </si>
  <si>
    <t>Hardware + Safety</t>
  </si>
  <si>
    <t>C01-01</t>
  </si>
  <si>
    <t>C01</t>
  </si>
  <si>
    <t>Reverse proxy/API Gateway TLS production</t>
  </si>
  <si>
    <t>Chỉ gateway public; HTTPS/WSS, security headers, request size, timeout và health route đúng.</t>
  </si>
  <si>
    <t>FastAPI/CORS và nginx frontend; chưa có reverse proxy TLS production.</t>
  </si>
  <si>
    <t>Thêm gateway config, certificate automation và environment hardening.</t>
  </si>
  <si>
    <t>HTTPS/WSS</t>
  </si>
  <si>
    <t>src/apps/center-frontend/nginx.conf; app/main.py</t>
  </si>
  <si>
    <t>Backend + DevOps</t>
  </si>
  <si>
    <t>Module hệ thống C01</t>
  </si>
  <si>
    <t>C01-02</t>
  </si>
  <si>
    <t>Rate limit/WAF/basic protection</t>
  </si>
  <si>
    <t>Rate limit theo user/robot/IP; claim/login/WS handshake chống brute force; có audit.</t>
  </si>
  <si>
    <t>Chưa có rate limit/WAF.</t>
  </si>
  <si>
    <t>Tích hợp Redis limiter, reverse proxy rule và test abuse.</t>
  </si>
  <si>
    <t>C02, Redis</t>
  </si>
  <si>
    <t>429/ErrorResponse</t>
  </si>
  <si>
    <t>app/api/auth.py; app/api/robot_auth.py</t>
  </si>
  <si>
    <t>Security + Backend</t>
  </si>
  <si>
    <t>C02-01</t>
  </si>
  <si>
    <t>WP7 - Vận hành</t>
  </si>
  <si>
    <t>C02</t>
  </si>
  <si>
    <t>Auth người dùng production, role/permission matrix</t>
  </si>
  <si>
    <t>Guest/operator/support/admin có quyền tách biệt; viewer không gửi command.</t>
  </si>
  <si>
    <t>Login demo, JWT và cột role đã có; endpoint chưa kiểm role chi tiết.</t>
  </si>
  <si>
    <t>CRUD user, password hash production, RBAC dependency và permission tests.</t>
  </si>
  <si>
    <t>GĐ3-GĐ7</t>
  </si>
  <si>
    <t>C01, C04</t>
  </si>
  <si>
    <t>JWT claims role/permissions</t>
  </si>
  <si>
    <t>app/api/auth.py; models/entities.py</t>
  </si>
  <si>
    <t>Backend + Security</t>
  </si>
  <si>
    <t>Module hệ thống C02</t>
  </si>
  <si>
    <t>C02-02</t>
  </si>
  <si>
    <t>Refresh/revoke/MFA cho tài khoản nhạy cảm</t>
  </si>
  <si>
    <t>Token thu hồi không dùng lại; MFA cho admin/kỹ thuật; session browser an toàn.</t>
  </si>
  <si>
    <t>Chỉ access token; không refresh/revoke/MFA.</t>
  </si>
  <si>
    <t>Thiết kế refresh rotation, revocation store và MFA flow.</t>
  </si>
  <si>
    <t>Redis/KMS</t>
  </si>
  <si>
    <t>auth token lifecycle</t>
  </si>
  <si>
    <t>app/core/security.py</t>
  </si>
  <si>
    <t>C03-01</t>
  </si>
  <si>
    <t>C03</t>
  </si>
  <si>
    <t>Robot registry CRUD, claim và trạng thái online/offline</t>
  </si>
  <si>
    <t>Thêm/sửa/xóa offline, filter/paging, credential claim, connection audit hoạt động.</t>
  </si>
  <si>
    <t>Đã có API/UI/test đầy đủ cho demo.</t>
  </si>
  <si>
    <t>Bổ sung RBAC/audit chi tiết và concurrency production.</t>
  </si>
  <si>
    <t>robots API + robot-auth</t>
  </si>
  <si>
    <t>app/api/robots.py; RobotListPage.tsx; tests/test_integration.py</t>
  </si>
  <si>
    <t>Backend + Frontend</t>
  </si>
  <si>
    <t>Module hệ thống C03</t>
  </si>
  <si>
    <t>C03-02</t>
  </si>
  <si>
    <t>Versioned configuration rollout và maintenance lock</t>
  </si>
  <si>
    <t>Config có version/audit/rollback; robot fault/maintenance không được cấp session.</t>
  </si>
  <si>
    <t>Config thuộc edge và update qua request/response, chưa version/audit/rollout.</t>
  </si>
  <si>
    <t>Thêm config schema/version, desired/reported state, validation và lock readiness.</t>
  </si>
  <si>
    <t>R02, C04, C12</t>
  </si>
  <si>
    <t>configuration.get/update/state</t>
  </si>
  <si>
    <t>app/api/robots.py; simulator/client.py</t>
  </si>
  <si>
    <t>C04-01</t>
  </si>
  <si>
    <t>C04</t>
  </si>
  <si>
    <t>Phiên độc quyền và lifecycle cơ bản</t>
  </si>
  <si>
    <t>Một robot chỉ có một controller; end session gửi STOP và giải phóng robot.</t>
  </si>
  <si>
    <t>Hub in-memory đã khóa một controller; create/get/delete session và media lease.</t>
  </si>
  <si>
    <t>Đưa state/lease sang Redis/DB, phục hồi khi nhiều instance hoặc restart.</t>
  </si>
  <si>
    <t>Redis, C05</t>
  </si>
  <si>
    <t>POST/GET/DELETE /api/sessions</t>
  </si>
  <si>
    <t>app/api/sessions.py; app/services/hub.py</t>
  </si>
  <si>
    <t>Module hệ thống C04</t>
  </si>
  <si>
    <t>C04-02</t>
  </si>
  <si>
    <t>Control lease heartbeat/grace/takeover</t>
  </si>
  <si>
    <t>Mất heartbeat thu hồi lease và robot dừng; support takeover có audit/thông báo.</t>
  </si>
  <si>
    <t>Control WS disconnect đóng session; chưa có control.heartbeat/lease/takeover riêng.</t>
  </si>
  <si>
    <t>Thêm lease API/event, timeout monitor, role check, takeover workflow.</t>
  </si>
  <si>
    <t>C02, C05, U02</t>
  </si>
  <si>
    <t>control.heartbeat; session.state; control-lease API</t>
  </si>
  <si>
    <t>app/api/websockets.py</t>
  </si>
  <si>
    <t>Mockup API/AT-11</t>
  </si>
  <si>
    <t>C05-01</t>
  </si>
  <si>
    <t>C05</t>
  </si>
  <si>
    <t>Validate session/sequence/timestamp/TTL và route đúng robot</t>
  </si>
  <si>
    <t>Lệnh sai/hết hạn/reorder bị từ chối; joystick không queue/retry.</t>
  </si>
  <si>
    <t>Đã có WebSocket validation, selected robot routing và ACK.</t>
  </si>
  <si>
    <t>Thêm rate limit theo loại, schema payload chặt và error codes.</t>
  </si>
  <si>
    <t>ARCH-02, C04</t>
  </si>
  <si>
    <t>control.velocity/stop; command.ack</t>
  </si>
  <si>
    <t>app/api/websockets.py; tests/test_integration.py</t>
  </si>
  <si>
    <t>Module hệ thống C05</t>
  </si>
  <si>
    <t>C05-02</t>
  </si>
  <si>
    <t>Business command lifecycle/idempotency/ACK timeout</t>
  </si>
  <si>
    <t>Mission/PTZ/config có accepted→running→terminal; retry có giới hạn; dedupe store TTL.</t>
  </si>
  <si>
    <t>Navigation có accepted/status nhưng chưa lifecycle store/ACK timeout/retry policy.</t>
  </si>
  <si>
    <t>Tạo command registry, persistence, timeout worker và metrics.</t>
  </si>
  <si>
    <t>R02, R03</t>
  </si>
  <si>
    <t>command.ack/status/error</t>
  </si>
  <si>
    <t>app/api/navigation.py; app/services/hub.py</t>
  </si>
  <si>
    <t>C05-03</t>
  </si>
  <si>
    <t>Audit important command, không lưu joystick stream</t>
  </si>
  <si>
    <t>STOP/E-stop/takeover/config/mission có actor/message_id/reason; log chống sửa.</t>
  </si>
  <si>
    <t>Có bảng command_logs nhưng chưa thấy ghi log vào command path.</t>
  </si>
  <si>
    <t>Tích hợp repository/audit middleware và retention.</t>
  </si>
  <si>
    <t>command audit record</t>
  </si>
  <si>
    <t>models/entities.py</t>
  </si>
  <si>
    <t>Module hệ thống C05/C12</t>
  </si>
  <si>
    <t>C06-01</t>
  </si>
  <si>
    <t>Realtime telemetry không chặn command</t>
  </si>
  <si>
    <t>Pose/health/status phát đúng robot, out-of-order bị bỏ, sampling có giới hạn.</t>
  </si>
  <si>
    <t>Đã broadcast in-memory và frontend bỏ pose out-of-order.</t>
  </si>
  <si>
    <t>Thêm throttling/backpressure, schema per field và multi-instance pub/sub.</t>
  </si>
  <si>
    <t>Redis, R02</t>
  </si>
  <si>
    <t>robot.pose/health/navigation.status</t>
  </si>
  <si>
    <t>app/api/websockets.py; TelemetryTransport.ts</t>
  </si>
  <si>
    <t>Module hệ thống C06</t>
  </si>
  <si>
    <t>C06-02</t>
  </si>
  <si>
    <t>Lịch sử telemetry, alert và dashboard API</t>
  </si>
  <si>
    <t>Tra được sự cố theo robot/time; retention/downsample; cảnh báo pin/mạng/nhiệt/sensor.</t>
  </si>
  <si>
    <t>Chỉ giữ state mới nhất in-memory; bảng robot_events chưa được dùng đầy đủ.</t>
  </si>
  <si>
    <t>Chọn TSDB/PostgreSQL policy, ingest worker, query API và alert rules.</t>
  </si>
  <si>
    <t>telemetry series + events</t>
  </si>
  <si>
    <t>models/entities.py; app/services/hub.py</t>
  </si>
  <si>
    <t>Backend + Observability</t>
  </si>
  <si>
    <t>C07-01</t>
  </si>
  <si>
    <t>C07</t>
  </si>
  <si>
    <t>LiveKit/TURN và token room-scoped ngắn hạn</t>
  </si>
  <si>
    <t>Robot/user chỉ vào đúng room; secret không xuống client; control vẫn chạy khi media lỗi.</t>
  </si>
  <si>
    <t>Compose có LiveKit 1.12, coturn, token robot/user scoped và media tách control.</t>
  </si>
  <si>
    <t>Production TLS/NAT/CGNAT test, TURN credential ngắn hạn và HA.</t>
  </si>
  <si>
    <t>C01, R09</t>
  </si>
  <si>
    <t>LiveKit token/room robot-{id}</t>
  </si>
  <si>
    <t>src/infrastructure; app/services/media.py; docs/media-flow.md</t>
  </si>
  <si>
    <t>Media + DevOps</t>
  </si>
  <si>
    <t>Module hệ thống C07</t>
  </si>
  <si>
    <t>C07-02</t>
  </si>
  <si>
    <t>Media reconnect/adaptive quality và ICE metrics</t>
  </si>
  <si>
    <t>Reconnect ≥95% cho gián đoạn &lt;30s; lưu RTT/jitter/loss/bitrate/ICE route.</t>
  </si>
  <si>
    <t>Browser/edge reconnect; chưa ingest đầy đủ WebRTC stats.</t>
  </si>
  <si>
    <t>Thu stats, policy ưu tiên audio/control, test chuyển mạng.</t>
  </si>
  <si>
    <t>C06, R09</t>
  </si>
  <si>
    <t>WebRTC getStats/quality events</t>
  </si>
  <si>
    <t>MediaTransport.ts; simulator/media.py</t>
  </si>
  <si>
    <t>Media + Observability</t>
  </si>
  <si>
    <t>AT-05/AT-10</t>
  </si>
  <si>
    <t>C08-01</t>
  </si>
  <si>
    <t>WP6 - Translation</t>
  </si>
  <si>
    <t>C08</t>
  </si>
  <si>
    <t>Chọn provider/model và streaming ASR→MT→TTS</t>
  </si>
  <si>
    <t>Partial/final, dịch theo cụm, TTS chunk đầu ≤2s điển hình; hủy khi barge-in.</t>
  </si>
  <si>
    <t>Chưa có translation service/message types.</t>
  </si>
  <si>
    <t>PoC 2-3 provider, đo latency/cost/WER và xây orchestrator adapter.</t>
  </si>
  <si>
    <t>R10, C07, U04</t>
  </si>
  <si>
    <t>translation.partial/final; tts.audio/cancel</t>
  </si>
  <si>
    <t>Speech AI</t>
  </si>
  <si>
    <t>Module hệ thống C08/Mockup VI</t>
  </si>
  <si>
    <t>C08-02</t>
  </si>
  <si>
    <t>Glossary, confidence và fallback</t>
  </si>
  <si>
    <t>Tên địa danh/món ăn/số tiền đúng; TTS lỗi vẫn có subtitle; có text-only/PTT fallback.</t>
  </si>
  <si>
    <t>Thiết kế glossary version/admin, confidence threshold và cached system phrases.</t>
  </si>
  <si>
    <t>C10, U04</t>
  </si>
  <si>
    <t>glossary_id/version; translation result</t>
  </si>
  <si>
    <t>Speech AI + Backend</t>
  </si>
  <si>
    <t>Module hệ thống C08</t>
  </si>
  <si>
    <t>C09-01</t>
  </si>
  <si>
    <t>C09</t>
  </si>
  <si>
    <t>Vision snapshot/OCR/VLM bất đồng bộ</t>
  </si>
  <si>
    <t>Chỉ gửi snapshot theo yêu cầu; response có answer/confidence/context; timeout và privacy policy.</t>
  </si>
  <si>
    <t>Chưa có API/message/storage.</t>
  </si>
  <si>
    <t>Tạo request job, upload signed URL, provider adapter, size limit và retention.</t>
  </si>
  <si>
    <t>R09-04, C10, C11</t>
  </si>
  <si>
    <t>vision.request/result</t>
  </si>
  <si>
    <t>AI + Backend</t>
  </si>
  <si>
    <t>Module hệ thống C09</t>
  </si>
  <si>
    <t>C10-01</t>
  </si>
  <si>
    <t>C10</t>
  </si>
  <si>
    <t>Tourism RAG có nguồn nội bộ và evaluation</t>
  </si>
  <si>
    <t>Câu trả lời bám tài liệu, có source_id/version; dataset đánh giá và guardrail không tạo pose/cmd_vel.</t>
  </si>
  <si>
    <t>Chuẩn hóa corpus/metadata, ingest/retrieval/LLM, eval và admin workflow.</t>
  </si>
  <si>
    <t>C09, C11</t>
  </si>
  <si>
    <t>rag.query/result/citations</t>
  </si>
  <si>
    <t>AI/Data</t>
  </si>
  <si>
    <t>Module hệ thống C10</t>
  </si>
  <si>
    <t>C11-01</t>
  </si>
  <si>
    <t>C11</t>
  </si>
  <si>
    <t>Map/destination API và route preview mẫu</t>
  </si>
  <si>
    <t>Frontend tải map/destination và preview route đúng coordinate transform.</t>
  </si>
  <si>
    <t>Đã có API, sample map/destination, utility và test; route là Manhattan mock.</t>
  </si>
  <si>
    <t>Giữ làm simulator contract; bổ sung DB repository/version và Nav2 route thật.</t>
  </si>
  <si>
    <t>GĐ2-GĐ5</t>
  </si>
  <si>
    <t>GET maps/destinations; navigation.preview</t>
  </si>
  <si>
    <t>sample-data/maps; app/api/maps.py; map-utils</t>
  </si>
  <si>
    <t>Module hệ thống C11</t>
  </si>
  <si>
    <t>Chỉ đánh dấu hoàn thành cho dữ liệu/preview demo.</t>
  </si>
  <si>
    <t>C11-02</t>
  </si>
  <si>
    <t>Tour/version/rollback/no-go production</t>
  </si>
  <si>
    <t>Map package versioned, không đổi giữa mission; tour/POI/zone publish và rollback được.</t>
  </si>
  <si>
    <t>Chưa có tour/no-go/version rollout.</t>
  </si>
  <si>
    <t>Mở rộng DB/API, admin validation và sync desired/reported map version.</t>
  </si>
  <si>
    <t>GĐ2-GĐ7</t>
  </si>
  <si>
    <t>R05, C03</t>
  </si>
  <si>
    <t>map manifest/location/tour/zones</t>
  </si>
  <si>
    <t>models/entities.py; sample-data/maps</t>
  </si>
  <si>
    <t>C12-01</t>
  </si>
  <si>
    <t>Metrics/log/tracing chuẩn hóa</t>
  </si>
  <si>
    <t>Có robot_id/site_id/session_id/message_id/correlation_id; dashboard latency/error/resource.</t>
  </si>
  <si>
    <t>Có /health và log cơ bản; chưa Prometheus/OTel/Loki.</t>
  </si>
  <si>
    <t>Instrument API/WS/media/edge, centralized logging và retention.</t>
  </si>
  <si>
    <t>C01, C05, C06</t>
  </si>
  <si>
    <t>OpenTelemetry/Prometheus metrics</t>
  </si>
  <si>
    <t>app/main.py</t>
  </si>
  <si>
    <t>Observability</t>
  </si>
  <si>
    <t>Module hệ thống C12</t>
  </si>
  <si>
    <t>C12-02</t>
  </si>
  <si>
    <t>Alert, incident timeline và runbook</t>
  </si>
  <si>
    <t>Alert severity/dedup/silence; không spam; timeline truy được nguyên nhân và action.</t>
  </si>
  <si>
    <t>Định nghĩa rules cho offline/pin/temp/sensor/media/control; runbook và escalation.</t>
  </si>
  <si>
    <t>C06, R07</t>
  </si>
  <si>
    <t>robot.alert/incident</t>
  </si>
  <si>
    <t>Operations</t>
  </si>
  <si>
    <t>C13-01</t>
  </si>
  <si>
    <t>OTA signed manifest/canary/rollback</t>
  </si>
  <si>
    <t>Version từng module, checksum/signature, resume, bandwidth limit; mất điện/mạng không brick.</t>
  </si>
  <si>
    <t>Chưa có OTA service/agent.</t>
  </si>
  <si>
    <t>Thiết kế manifest, artifact store, rollout state, health gate và rollback.</t>
  </si>
  <si>
    <t>R01, R02, R08</t>
  </si>
  <si>
    <t>ota.manifest/status</t>
  </si>
  <si>
    <t>DevOps + Edge</t>
  </si>
  <si>
    <t>Module hệ thống C13</t>
  </si>
  <si>
    <t>U01-01</t>
  </si>
  <si>
    <t>U01</t>
  </si>
  <si>
    <t>Login, robot list, filter/paging và bắt đầu session</t>
  </si>
  <si>
    <t>Chưa login không vào control; robot online/available mới kết nối; lỗi rõ ràng.</t>
  </si>
  <si>
    <t>Đã có login demo, list/filter/page, editor/config và create session.</t>
  </si>
  <si>
    <t>Bổ sung RBAC, site selector, privacy/consent và production pre-check.</t>
  </si>
  <si>
    <t>C02, C03, C04</t>
  </si>
  <si>
    <t>auth/robots/sessions APIs</t>
  </si>
  <si>
    <t>LoginPage.tsx; RobotListPage.tsx; RobotEditorPage.tsx</t>
  </si>
  <si>
    <t>Frontend</t>
  </si>
  <si>
    <t>Module hệ thống U01</t>
  </si>
  <si>
    <t>U01-02</t>
  </si>
  <si>
    <t>Pre-check trước kết nối</t>
  </si>
  <si>
    <t>Kiểm browser/mic/network/robot ready/pin/safety; chỉ bật Kết nối khi bắt buộc đạt.</t>
  </si>
  <si>
    <t>Trang cấu hình có diagnostics; luồng chọn robot chưa có pre-check đầy đủ.</t>
  </si>
  <si>
    <t>Tạo checklist preflight và API readiness tổng hợp.</t>
  </si>
  <si>
    <t>C03, C06, C07</t>
  </si>
  <si>
    <t>robot readiness + media diagnostics</t>
  </si>
  <si>
    <t>RobotConfigurationPage.tsx; RobotListPage.tsx</t>
  </si>
  <si>
    <t>Frontend + Backend</t>
  </si>
  <si>
    <t>Mockup Hình 4</t>
  </si>
  <si>
    <t>U02-01</t>
  </si>
  <si>
    <t>U02</t>
  </si>
  <si>
    <t>Dashboard video/joystick/pin/mạng/mic/loa</t>
  </si>
  <si>
    <t>Video là chính; thao tác touch/keyboard; trạng thái lệnh và media rõ; responsive phạm vi MVP.</t>
  </si>
  <si>
    <t>Đã có dashboard, video, control pad, pin/RTT, mic/loa và map.</t>
  </si>
  <si>
    <t>Thử usability trên tablet/mobile nhỏ; thêm session timer/packet loss/control lease.</t>
  </si>
  <si>
    <t>C05, C06, C07</t>
  </si>
  <si>
    <t>control + telemetry + LiveKit</t>
  </si>
  <si>
    <t>DashboardPage.tsx; ControlPad.tsx</t>
  </si>
  <si>
    <t>Module hệ thống U02</t>
  </si>
  <si>
    <t>U02-02</t>
  </si>
  <si>
    <t>Nút dừng khẩn luôn thấy và khóa UI khi mất session</t>
  </si>
  <si>
    <t>STOP cố định, cách xa nút thường; loss/expiry/takeover khóa control ngay và thông báo.</t>
  </si>
  <si>
    <t>Space/keyup/disconnect gửi stop; chưa có nút E-stop nổi bật/takeover/session expiry UX.</t>
  </si>
  <si>
    <t>Thêm emergency control, session.state listener và accessibility confirmation.</t>
  </si>
  <si>
    <t>R07-04, C04-02</t>
  </si>
  <si>
    <t>control.stop; session.state; safety.state</t>
  </si>
  <si>
    <t>DashboardPage.tsx; useTeleoperation.ts</t>
  </si>
  <si>
    <t>Module hệ thống U02/AT-04</t>
  </si>
  <si>
    <t>U02-03</t>
  </si>
  <si>
    <t>PTZ, chụp ảnh, fullscreen/PiP và quality selector</t>
  </si>
  <si>
    <t>Control có ACK/limit; ảnh theo session; trạng thái quyền camera rõ.</t>
  </si>
  <si>
    <t>Bổ sung UI sau khi R09-04/C05 contract hoàn tất.</t>
  </si>
  <si>
    <t>camera.ptz/photo.capture</t>
  </si>
  <si>
    <t>Mockup Hình 5</t>
  </si>
  <si>
    <t>U03-01</t>
  </si>
  <si>
    <t>U03</t>
  </si>
  <si>
    <t>Map, marker robot, POI, route và mission state</t>
  </si>
  <si>
    <t>Chỉ chọn POI hợp lệ; progress/cancel phản ánh robot; coordinate đúng.</t>
  </si>
  <si>
    <t>Đã có MapPanel, destination, route preview và navigation state với simulator.</t>
  </si>
  <si>
    <t>Bổ sung no-go/speed zones, confirm hành động và trạng thái Nav2 đầy đủ.</t>
  </si>
  <si>
    <t>C11, R05</t>
  </si>
  <si>
    <t>map/destination/navigation events</t>
  </si>
  <si>
    <t>MapPanel.tsx; map-utils; tests/map-utils.test.ts</t>
  </si>
  <si>
    <t>Module hệ thống U03</t>
  </si>
  <si>
    <t>Hoàn thành ở mức simulator.</t>
  </si>
  <si>
    <t>U04-01</t>
  </si>
  <si>
    <t>U04</t>
  </si>
  <si>
    <t>UI direct/translated, PTT/full-duplex và phụ đề hai chiều</t>
  </si>
  <si>
    <t>Phân biệt speaker/source-target; trạng thái nghe-dịch-phát; subtitle 1-2 dòng trên robot.</t>
  </si>
  <si>
    <t>Chỉ có mic/loa trực tiếp; chưa translation UI.</t>
  </si>
  <si>
    <t>Thiết kế state machine, controls, captions và consent/privacy.</t>
  </si>
  <si>
    <t>C08, R10, R11</t>
  </si>
  <si>
    <t>translation.partial/final; audio.mode</t>
  </si>
  <si>
    <t>Frontend + Speech</t>
  </si>
  <si>
    <t>Module hệ thống U04</t>
  </si>
  <si>
    <t>U05-01</t>
  </si>
  <si>
    <t>U05</t>
  </si>
  <si>
    <t>UX hỏi đáp text/voice/vision</t>
  </si>
  <si>
    <t>Có timeout/cancel/confidence/source; phân biệt AI answer và command; không tự điều khiển.</t>
  </si>
  <si>
    <t>Xây UI sau contract C09/C10; intent validation và confirmation riêng.</t>
  </si>
  <si>
    <t>C09, C10, C08</t>
  </si>
  <si>
    <t>vision/rag query/result</t>
  </si>
  <si>
    <t>Frontend + AI</t>
  </si>
  <si>
    <t>Module hệ thống U05</t>
  </si>
  <si>
    <t>OPS-01</t>
  </si>
  <si>
    <t>Admin</t>
  </si>
  <si>
    <t>Fleet dashboard, phiên đang chạy, alert và takeover</t>
  </si>
  <si>
    <t>Operator xem trạng thái nhiều robot, phiên/alert; support takeover đúng quyền và có audit.</t>
  </si>
  <si>
    <t>Robot list có tổng hợp cơ bản; chưa admin dashboard/takeover.</t>
  </si>
  <si>
    <t>Tạo admin API/UI, RBAC, realtime updates và incident link.</t>
  </si>
  <si>
    <t>C02, C04, C06, C12</t>
  </si>
  <si>
    <t>fleet/session/alert APIs</t>
  </si>
  <si>
    <t>RobotListPage.tsx</t>
  </si>
  <si>
    <t>Full stack</t>
  </si>
  <si>
    <t>Mockup WP7/AT-11</t>
  </si>
  <si>
    <t>OPS-02</t>
  </si>
  <si>
    <t>Privacy</t>
  </si>
  <si>
    <t>Consent và retention audio/video/transcript/photo</t>
  </si>
  <si>
    <t>Ghi hình mặc định tắt; consent rõ; xóa theo hạn; signed URL ngắn hạn; audit truy cập.</t>
  </si>
  <si>
    <t>Chưa có recording/transcript/photo nên chưa có policy thực thi.</t>
  </si>
  <si>
    <t>Thiết kế data classification, consent records, retention jobs và UI.</t>
  </si>
  <si>
    <t>GĐ6-GĐ7</t>
  </si>
  <si>
    <t>C08, C09, R09-04</t>
  </si>
  <si>
    <t>session consent + media metadata</t>
  </si>
  <si>
    <t>Mockup VIII/IX</t>
  </si>
  <si>
    <t>TEST-01</t>
  </si>
  <si>
    <t>WP8 - Field test</t>
  </si>
  <si>
    <t>QA</t>
  </si>
  <si>
    <t>Giữ và mở rộng unit/integration/E2E hiện có</t>
  </si>
  <si>
    <t>Test login→session→control→telemetry→route; registry; media config; watchdog chạy ổn định trong CI.</t>
  </si>
  <si>
    <t>Đã có pytest/vitest/Playwright cho các luồng demo chính.</t>
  </si>
  <si>
    <t>Thêm coverage cho lỗi, schema mới, RBAC, Redis lease và robot thật adapter.</t>
  </si>
  <si>
    <t>Liên tục</t>
  </si>
  <si>
    <t>test fixtures</t>
  </si>
  <si>
    <t>src/apps/center-backend/tests; demo/robot-simulator/tests; demo/e2e</t>
  </si>
  <si>
    <t>QA + Dev</t>
  </si>
  <si>
    <t>TEST-02</t>
  </si>
  <si>
    <t>QA/Safety</t>
  </si>
  <si>
    <t>Safety fault injection và HIL</t>
  </si>
  <si>
    <t>Test mất heartbeat, LiDAR/encoder, E-stop, CRC, rút cáp, CPU overload; thời gian dừng có bằng chứng.</t>
  </si>
  <si>
    <t>Chỉ có watchdog simulator và TTL/session tests.</t>
  </si>
  <si>
    <t>Dựng HIL rig, timestamp camera/log và test tự động lặp.</t>
  </si>
  <si>
    <t>R06-R08</t>
  </si>
  <si>
    <t>safety events + MCU frames</t>
  </si>
  <si>
    <t>QA + Safety</t>
  </si>
  <si>
    <t>AT-02/03/04</t>
  </si>
  <si>
    <t>TEST-03</t>
  </si>
  <si>
    <t>QA/Network</t>
  </si>
  <si>
    <t>NAT/CGNAT và 4G/5G của ít nhất hai nhà mạng</t>
  </si>
  <si>
    <t>Kết nối ≤10s; control ≤200ms điển hình; media qua TURN; reconnect đạt mục tiêu.</t>
  </si>
  <si>
    <t>Chưa có biên bản field test.</t>
  </si>
  <si>
    <t>Chuẩn hóa kịch bản, clock sync, collect ICE/RTT/jitter/loss và report.</t>
  </si>
  <si>
    <t>C07, R09</t>
  </si>
  <si>
    <t>WebRTC/WS metrics</t>
  </si>
  <si>
    <t>docs/media-flow.md</t>
  </si>
  <si>
    <t>QA + Network</t>
  </si>
  <si>
    <t>AT-01/05/10</t>
  </si>
  <si>
    <t>TEST-04</t>
  </si>
  <si>
    <t>QA/Audio</t>
  </si>
  <si>
    <t>Audio/dịch ở 4 môi trường và double-talk</t>
  </si>
  <si>
    <t>Đo WER, VAD, clipping, first partial/stable/TTS; không loop khi loa đang phát.</t>
  </si>
  <si>
    <t>Chưa có audio DSP/translation.</t>
  </si>
  <si>
    <t>Chuẩn bị corpus/glossary/người nói/thiết bị đo và acceptance thresholds.</t>
  </si>
  <si>
    <t>GĐ5-GĐ6</t>
  </si>
  <si>
    <t>R10, C08</t>
  </si>
  <si>
    <t>audio/translation metrics</t>
  </si>
  <si>
    <t>Robot_Telepresence...docx VI/IX</t>
  </si>
  <si>
    <t>QA + Audio</t>
  </si>
  <si>
    <t>AT-06/07/08</t>
  </si>
  <si>
    <t>TEST-05</t>
  </si>
  <si>
    <t>Soak test tối thiểu 72 giờ</t>
  </si>
  <si>
    <t>Không đầy disk/leak/treo; robot tự phục hồi; Nav2/Safety deadline không bị media/AI ảnh hưởng.</t>
  </si>
  <si>
    <t>Chưa có kết quả soak test.</t>
  </si>
  <si>
    <t>Tạo workload, fault schedule, dashboards và tiêu chí pass/fail.</t>
  </si>
  <si>
    <t>Trước nghiệm thu</t>
  </si>
  <si>
    <t>R01, C12</t>
  </si>
  <si>
    <t>metrics/logs/alerts</t>
  </si>
  <si>
    <t>Module hệ thống X</t>
  </si>
  <si>
    <t>QA + Operations</t>
  </si>
  <si>
    <t>Checklist field test</t>
  </si>
  <si>
    <t>TEST-06</t>
  </si>
  <si>
    <t>QA/Security</t>
  </si>
  <si>
    <t>Security, privacy và browser matrix</t>
  </si>
  <si>
    <t>Chrome/Edge/Safari theo phạm vi; token/ACL/TURN/recording/consent đúng; pentest finding đóng.</t>
  </si>
  <si>
    <t>Có auth tests cơ bản; chưa browser matrix/pentest.</t>
  </si>
  <si>
    <t>Threat model, OWASP/API/WS test, dependency scan và privacy verification.</t>
  </si>
  <si>
    <t>C01, C02, OPS-02</t>
  </si>
  <si>
    <t>security test evidence</t>
  </si>
  <si>
    <t>tests/test_integration.py</t>
  </si>
  <si>
    <t>QA + Security</t>
  </si>
  <si>
    <t>Mockup IX/Phụ lục B</t>
  </si>
  <si>
    <t>KẾ HOẠCH TRIỂN KHAI — TỔNG QUAN</t>
  </si>
  <si>
    <t>Nguồn: docs/Module_HeThong.docx, docs/Robot_Telepresence_GiaiDoan1_GiaiPhap_TinhNang_Luong_Mockup.docx và khảo sát mã nguồn tại ngày 29/07/2026.</t>
  </si>
  <si>
    <t>Tổng đầu việc</t>
  </si>
  <si>
    <t>Đã hoàn thành</t>
  </si>
  <si>
    <t>Chưa hoàn thành</t>
  </si>
  <si>
    <t>Tiến độ</t>
  </si>
  <si>
    <t>Must còn lại</t>
  </si>
  <si>
    <t>Module chưa có</t>
  </si>
  <si>
    <t>Điểm tích hợp</t>
  </si>
  <si>
    <t>Cách sử dụng file</t>
  </si>
  <si>
    <t>1. Sheet Backlog là danh sách đầu việc chính. Bấm checkbox cột A; dòng hoàn thành tự chuyển xanh.</t>
  </si>
  <si>
    <t>2. Lọc theo Gói công việc, Module, Ưu tiên, Trình tự hoặc Nhóm phụ trách để lập sprint.</t>
  </si>
  <si>
    <t>3. Hiện trạng mã cho biết phần nào đã có, đang mock/một phần hoặc chưa có, kèm bằng chứng file.</t>
  </si>
  <si>
    <t>4. Tích hợp &amp; dữ liệu cung cấp endpoint/event/topic và payload mẫu để nối vào mã hiện tại.</t>
  </si>
  <si>
    <t>5. Nghiệm thu là checklist riêng cho AT-01…AT-12 và field test. Không xem simulator là bằng chứng robot thật.</t>
  </si>
  <si>
    <t>6. Thứ tự triển khai bắt buộc: MCU/Safety → Sensor/Nav2 → Center → Media → UI → Translation/AI → Operations.</t>
  </si>
  <si>
    <t>Tương thích checkbox: Excel Microsoft 365/Excel 2024 hiển thị checkbox trong ô. Ứng dụng cũ có thể hiển thị TRUE/FALSE; đặt TRUE vẫn tô xanh dòng.</t>
  </si>
  <si>
    <t>Kết luận khảo sát mã hiện tại</t>
  </si>
  <si>
    <t>Đã có nền tốt</t>
  </si>
  <si>
    <t>Center + simulator: auth cơ bản, robot registry/credential, session lock, WSS control/telemetry, LiveKit/TURN, media file/RTSP/USB, joystick an toàn, map/navigation mock và test.</t>
  </si>
  <si>
    <t>Chưa phải robot production</t>
  </si>
  <si>
    <t>Không có firmware MCU, ROS 2 gateway, sensor/TF/Nav2, E-stop/collision safety, BMS/power. Đây là critical path trước khi điều khiển robot thật.</t>
  </si>
  <si>
    <t>Media/audio</t>
  </si>
  <si>
    <t>Video đã có pipeline demo tốt nhưng chưa chứng minh Rockchip MPP/CSI/adaptive bitrate/72h. Audio mới ở mức truyền hai chiều, chưa AEC/NS/AGC/VAD.</t>
  </si>
  <si>
    <t>Dịch/AI</t>
  </si>
  <si>
    <t>Chưa có Translation, Vision AI, Tourism RAG và UI tương ứng. Sheet tích hợp cung cấp payload mẫu để phát triển độc lập.</t>
  </si>
  <si>
    <t>Vận hành production</t>
  </si>
  <si>
    <t>Thiếu RBAC đầy đủ, Redis lease/multi-instance, telemetry history, metrics/log/alert, audit command, OTA, retention/consent và field test.</t>
  </si>
  <si>
    <t>Kết quả kiểm tra</t>
  </si>
  <si>
    <t>Backend 13/13, simulator 17/17 và frontend 8/8 test đều đạt; frontend production build đạt. Build có cảnh báo MediaTransport chunk 533 kB cần tối ưu sau.</t>
  </si>
  <si>
    <t>HIỆN TRẠNG MÃ NGUỒN THEO MODULE</t>
  </si>
  <si>
    <t>Mức bao phủ là đánh giá kỹ thuật tương đối để ưu tiên, không phải phần trăm nghiệm thu hợp đồng.</t>
  </si>
  <si>
    <t>Tên</t>
  </si>
  <si>
    <t>Đánh giá</t>
  </si>
  <si>
    <t>Mức bao phủ ước tính</t>
  </si>
  <si>
    <t>Đã có trong mã</t>
  </si>
  <si>
    <t>Còn thiếu</t>
  </si>
  <si>
    <t>Bằng chứng</t>
  </si>
  <si>
    <t>Orange Pi system management</t>
  </si>
  <si>
    <t>Một phần</t>
  </si>
  <si>
    <t>Có Docker/systemd edge unit và restart; health endpoint trung tâm.</t>
  </si>
  <si>
    <t>Thiếu bringup ROS 2, health thiết bị/tài nguyên, log rotation, safe boot.</t>
  </si>
  <si>
    <t>Robot Agent</t>
  </si>
  <si>
    <t>Simulator có claim/enroll, JWT, outbound WSS, heartbeat, reconnect, dedupe, config/media.</t>
  </si>
  <si>
    <t>Cần port sang Orange Pi/ROS 2, telemetry buffer, secure production và capability/version.</t>
  </si>
  <si>
    <t>ROS 2 Command Gateway</t>
  </si>
  <si>
    <t>Contract và hướng tích hợp đã mô tả.</t>
  </si>
  <si>
    <t>Không có ROS 2 workspace/node/topic/action adapter.</t>
  </si>
  <si>
    <t>Teleoperation</t>
  </si>
  <si>
    <t>Web input 20 Hz, ramp, TTL, STOP trên keyup/blur/disconnect; simulator watchdog 400 ms.</t>
  </si>
  <si>
    <t>Chưa nối twist_mux/Safety/MCU và chưa đo mạng/robot thật.</t>
  </si>
  <si>
    <t>useTeleoperation.ts; simulator/motion.py</t>
  </si>
  <si>
    <t>Navigation</t>
  </si>
  <si>
    <t>Mock</t>
  </si>
  <si>
    <t>Map/destination/preview/goal/cancel và simulator motion theo route.</t>
  </si>
  <si>
    <t>Route Manhattan; thiếu SLAM/AMCL/Nav2/no-go/recovery/pause.</t>
  </si>
  <si>
    <t>Sensors &amp; localization</t>
  </si>
  <si>
    <t>Không có implementation.</t>
  </si>
  <si>
    <t>Thiếu toàn bộ driver, calibration, TF, fusion và diagnostics.</t>
  </si>
  <si>
    <t>Safety Manager</t>
  </si>
  <si>
    <t>Có watchdog motion và STOP khi WS/session đóng.</t>
  </si>
  <si>
    <t>Thiếu E-stop/collision/cliff/priority matrix/commanded-vs-actual/reason codes.</t>
  </si>
  <si>
    <t>simulator/motion.py; app/api/websockets.py</t>
  </si>
  <si>
    <t>MCU chassis</t>
  </si>
  <si>
    <t>Không có firmware/protocol.</t>
  </si>
  <si>
    <t>Thiếu CAN/UART CRC, PID, encoder, brake, watchdog, bootloader.</t>
  </si>
  <si>
    <t>Camera/video</t>
  </si>
  <si>
    <t>LiveKit publish; test/file/RTSP/USB; reconnect; UI config/preview.</t>
  </si>
  <si>
    <t>Thiếu CSI/MPP/GStreamer proof, adaptive bitrate, PTZ/snapshot, 72h field test.</t>
  </si>
  <si>
    <t>Two-way audio</t>
  </si>
  <si>
    <t>LiveKit audio track, browser mic/speaker; edge consume user audio.</t>
  </si>
  <si>
    <t>Thiếu phần cứng, AEC/NS/AGC/VAD, modes, barge-in và noise tests.</t>
  </si>
  <si>
    <t>simulator/media.py; DashboardPage.tsx</t>
  </si>
  <si>
    <t>Robot display</t>
  </si>
  <si>
    <t>Không có ứng dụng kiosk.</t>
  </si>
  <si>
    <t>Thiếu toàn bộ display UI/state/privacy/subtitle/autostart.</t>
  </si>
  <si>
    <t>Không có.</t>
  </si>
  <si>
    <t>Thiếu RKNN benchmark/process/resource degradation.</t>
  </si>
  <si>
    <t>Battery/power</t>
  </si>
  <si>
    <t>Có battery_percent mô phỏng.</t>
  </si>
  <si>
    <t>Thiếu BMS, nguồn, thresholds, charge history/return-to-dock policy.</t>
  </si>
  <si>
    <t>app/services/hub.py</t>
  </si>
  <si>
    <t>API Gateway</t>
  </si>
  <si>
    <t>FastAPI, CORS, health; nginx phục vụ frontend.</t>
  </si>
  <si>
    <t>Thiếu reverse proxy TLS production, rate limit, WAF, correlation/tracing.</t>
  </si>
  <si>
    <t>app/main.py; nginx.conf</t>
  </si>
  <si>
    <t>Auth/User</t>
  </si>
  <si>
    <t>Login demo, JWT, user model có role.</t>
  </si>
  <si>
    <t>Thiếu user management, RBAC enforcement, refresh/revoke/MFA/policy.</t>
  </si>
  <si>
    <t>app/api/auth.py; app/core/security.py</t>
  </si>
  <si>
    <t>Robot Management</t>
  </si>
  <si>
    <t>Registry CRUD, paging/filter, quick-add, claim/enroll, config/diagnostics, audit connection.</t>
  </si>
  <si>
    <t>Thiếu config version/rollout/maintenance readiness/audit chi tiết.</t>
  </si>
  <si>
    <t>app/api/robots.py; RobotListPage.tsx</t>
  </si>
  <si>
    <t>Session Management</t>
  </si>
  <si>
    <t>Exclusive in-memory session, media lease, create/get/delete và STOP khi end.</t>
  </si>
  <si>
    <t>Thiếu Redis lease multi-instance, control heartbeat/grace/takeover/audit lifecycle.</t>
  </si>
  <si>
    <t>Command Service</t>
  </si>
  <si>
    <t>WS validate session/TTL/sequence/type, route robot, ACK; navigation goal/cancel.</t>
  </si>
  <si>
    <t>Thiếu schema registry payload, business lifecycle/idempotency store/retry/metrics/audit.</t>
  </si>
  <si>
    <t>app/api/websockets.py; app/api/navigation.py</t>
  </si>
  <si>
    <t>Telemetry Service</t>
  </si>
  <si>
    <t>Realtime pose/health/status broadcast và latest state.</t>
  </si>
  <si>
    <t>Thiếu history/downsample/retention/dashboard API/alerts/multi-instance pubsub.</t>
  </si>
  <si>
    <t>app/api/websockets.py; app/services/hub.py</t>
  </si>
  <si>
    <t>Media Server</t>
  </si>
  <si>
    <t>LiveKit/coturn Compose, room-scoped user/robot token, reconnect.</t>
  </si>
  <si>
    <t>Thiếu production TLS/TURN credential/HA/CGNAT evidence/stats adaptation.</t>
  </si>
  <si>
    <t>src/infrastructure; app/services/media.py</t>
  </si>
  <si>
    <t>Translation</t>
  </si>
  <si>
    <t>Không có service/contract.</t>
  </si>
  <si>
    <t>Thiếu ASR/MT/TTS streaming, glossary, latency metrics/fallback.</t>
  </si>
  <si>
    <t>Vision AI</t>
  </si>
  <si>
    <t>Thiếu snapshot job/API/storage/privacy/provider adapter.</t>
  </si>
  <si>
    <t>Tourism RAG</t>
  </si>
  <si>
    <t>Thiếu corpus/metadata/retrieval/LLM/eval/admin/guardrail.</t>
  </si>
  <si>
    <t>Map/Location/Tour</t>
  </si>
  <si>
    <t>Map/destination API, sample map, coordinate utility và route preview.</t>
  </si>
  <si>
    <t>Thiếu map version, tour, zone/no-go, rollback, Nav2 integration.</t>
  </si>
  <si>
    <t>sample-data/maps; app/api/maps.py</t>
  </si>
  <si>
    <t>Monitoring/Alert</t>
  </si>
  <si>
    <t>Có /health, stdout log và connection DB record.</t>
  </si>
  <si>
    <t>Thiếu metrics/tracing/log aggregation/alert/incident/audit/runbook.</t>
  </si>
  <si>
    <t>app/main.py; models/entities.py</t>
  </si>
  <si>
    <t>OTA</t>
  </si>
  <si>
    <t>Thiếu artifact/manifest/signature/canary/resume/rollback.</t>
  </si>
  <si>
    <t>Login/select robot</t>
  </si>
  <si>
    <t>Login, robot list/filter/paging, CRUD/config và create session.</t>
  </si>
  <si>
    <t>Thiếu pre-check, site/consent/RBAC/low-battery readiness.</t>
  </si>
  <si>
    <t>LoginPage.tsx; RobotListPage.tsx</t>
  </si>
  <si>
    <t>Control UI</t>
  </si>
  <si>
    <t>Video, joystick, pin/RTT, mic/loa, command state và disconnect.</t>
  </si>
  <si>
    <t>Thiếu visible E-stop, packet loss/session timer/lease/takeover/PTZ/photo/mobile validation.</t>
  </si>
  <si>
    <t>Map UI</t>
  </si>
  <si>
    <t>MapPanel, POI, pose, route, goal/cancel và state.</t>
  </si>
  <si>
    <t>Thiếu no-go/zones/confirm/Nav2 progress/real map scale field test.</t>
  </si>
  <si>
    <t>MapPanel.tsx</t>
  </si>
  <si>
    <t>Communication/translation UI</t>
  </si>
  <si>
    <t>Có mic/loa direct talk cơ bản.</t>
  </si>
  <si>
    <t>Thiếu PTT/mode/subtitles/speaker labels/translation fallback/privacy.</t>
  </si>
  <si>
    <t>AI Q&amp;A UI</t>
  </si>
  <si>
    <t>Thiếu toàn bộ text/voice/vision Q&amp;A UX.</t>
  </si>
  <si>
    <t>MA TRẬN TÍCH HỢP VÀ DỮ LIỆU MẪU</t>
  </si>
  <si>
    <t>Payload mẫu bám contract hiện tại khi có; các dòng chưa có là contract đề xuất cần chốt/version trước khi code.</t>
  </si>
  <si>
    <t>Luồng tích hợp</t>
  </si>
  <si>
    <t>Nguồn → Đích</t>
  </si>
  <si>
    <t>Kênh</t>
  </si>
  <si>
    <t>Hiện trạng</t>
  </si>
  <si>
    <t>Endpoint / Event / Topic</t>
  </si>
  <si>
    <t>Đầu ra mong đợi</t>
  </si>
  <si>
    <t>Cần làm để tích hợp</t>
  </si>
  <si>
    <t>Điểm vào / Nguồn</t>
  </si>
  <si>
    <t>INT-01</t>
  </si>
  <si>
    <t>Đăng nhập người dùng</t>
  </si>
  <si>
    <t>Web → C02</t>
  </si>
  <si>
    <t>REST</t>
  </si>
  <si>
    <t>Đã có</t>
  </si>
  <si>
    <t>POST /api/auth/login</t>
  </si>
  <si>
    <t>{
  "email": "demo@rovera.local",
  "password": "demo123"
}</t>
  </si>
  <si>
    <t>access_token; user{id,email,role}</t>
  </si>
  <si>
    <t>Đổi demo auth sang RBAC production; refresh/revoke/MFA.</t>
  </si>
  <si>
    <t>app/api/auth.py</t>
  </si>
  <si>
    <t>INT-02</t>
  </si>
  <si>
    <t>Đăng ký/claim robot</t>
  </si>
  <si>
    <t>Edge ↔ C03</t>
  </si>
  <si>
    <t>HTTPS</t>
  </si>
  <si>
    <t>POST /api/robot-auth/claim</t>
  </si>
  <si>
    <t>{
  "management_address": "192.168.1.20",
  "username": "operator",
  "password": "&lt;local-password&gt;",
  "device_fingerprint": "orange-pi-5:machine-id"
}</t>
  </si>
  <si>
    <t>robot_id; credential (chỉ trả một lần)</t>
  </si>
  <si>
    <t>Rate limit, audit và TLS production.</t>
  </si>
  <si>
    <t>app/api/robot_auth.py</t>
  </si>
  <si>
    <t>INT-03</t>
  </si>
  <si>
    <t>Robot JWT</t>
  </si>
  <si>
    <t>Edge → C02/C03</t>
  </si>
  <si>
    <t>POST /api/robot-auth/token</t>
  </si>
  <si>
    <t>{
  "robot_id": "ROBOT-001",
  "credential": "&lt;device-credential&gt;"
}</t>
  </si>
  <si>
    <t>Bearer robot JWT 15 phút</t>
  </si>
  <si>
    <t>Rotate/revoke và secure element nếu có.</t>
  </si>
  <si>
    <t>INT-04</t>
  </si>
  <si>
    <t>Gateway robot</t>
  </si>
  <si>
    <t>Edge ↔ C05/C06</t>
  </si>
  <si>
    <t>WSS</t>
  </si>
  <si>
    <t>/ws/robot/connect?robot_id=ROBOT-001</t>
  </si>
  <si>
    <t>{
  "message_id": "7b8e5c52-0d74-4f8e-b97e-4f7ff8aa1001",
  "schema_version": "1.0",
  "message_type": "robot.heartbeat",
  "robot_id": "ROBOT-001",
  "session_id": "",
  "sequence": 12,
  "timestamp": "2026-07-29T09:00:00+07:00",
  "ttl_ms": 0,
  "payload": {}
}</t>
  </si>
  <si>
    <t>gateway.welcome + command; robot sends telemetry/ACK</t>
  </si>
  <si>
    <t>TLS, capability/version negotiation và multi-instance.</t>
  </si>
  <si>
    <t>docs/websocket-protocol.md</t>
  </si>
  <si>
    <t>INT-05</t>
  </si>
  <si>
    <t>Điều khiển vận tốc</t>
  </si>
  <si>
    <t>Web → C05 → R02/R03</t>
  </si>
  <si>
    <t>control.velocity</t>
  </si>
  <si>
    <t>{
  "message_id": "7b8e5c52-0d74-4f8e-b97e-4f7ff8aa1002",
  "schema_version": "1.0",
  "message_type": "control.velocity",
  "robot_id": "ROBOT-001",
  "session_id": "sess-001",
  "sequence": 1842,
  "timestamp": "2026-07-29T09:20:15.240+07:00",
  "ttl_ms": 300,
  "payload": {
    "linear_x": 0.25,
    "angular_z": -0.3
  }
}</t>
  </si>
  <si>
    <t>command.ack accepted/expired/rejected/robot_offline</t>
  </si>
  <si>
    <t>Chốt linear_x/angular_z hay vx/wz; nối ROS 2 twist_mux và Safety.</t>
  </si>
  <si>
    <t>ControlTransport.ts; api/websockets.py</t>
  </si>
  <si>
    <t>INT-06</t>
  </si>
  <si>
    <t>Control heartbeat/lease</t>
  </si>
  <si>
    <t>Web ↔ C04 → R07</t>
  </si>
  <si>
    <t>WSS/REST</t>
  </si>
  <si>
    <t>control.heartbeat; /control-lease</t>
  </si>
  <si>
    <t>{
  "message_type": "control.heartbeat",
  "robot_id": "ROBOT-001",
  "session_id": "sess-001",
  "sequence": 1843,
  "timestamp": "2026-07-29T09:20:15.340+07:00",
  "ttl_ms": 500,
  "payload": {
    "lease_id": "lease-001"
  }
}</t>
  </si>
  <si>
    <t>session.state + safety stop khi timeout</t>
  </si>
  <si>
    <t>Thêm message schema, lease Redis và UI state.</t>
  </si>
  <si>
    <t>Tài liệu mockup VIII</t>
  </si>
  <si>
    <t>INT-07</t>
  </si>
  <si>
    <t>ROS 2 teleop</t>
  </si>
  <si>
    <t>R03 → R04/R07</t>
  </si>
  <si>
    <t>ROS 2 topic</t>
  </si>
  <si>
    <t>/teleop/cmd_vel</t>
  </si>
  <si>
    <t>linear:
  x: 0.25
angular:
  z: -0.30</t>
  </si>
  <si>
    <t>safe_cmd_vel sau twist_mux/collision</t>
  </si>
  <si>
    <t>Tạo node gateway, QoS và local watchdog.</t>
  </si>
  <si>
    <t>INT-08</t>
  </si>
  <si>
    <t>Orange Pi ↔ MCU</t>
  </si>
  <si>
    <t>R03/R07 ↔ R08</t>
  </si>
  <si>
    <t>CAN/UART</t>
  </si>
  <si>
    <t>SET_VELOCITY / STATUS / STOP</t>
  </si>
  <si>
    <t>SOF=0xAA55 | ver=1 | type=0x01 | seq=1842 | vx_mm_s=250 | wz_mrad_s=-300 | ttl_ms=300 | CRC16</t>
  </si>
  <si>
    <t>ACK + encoder/current/voltage/e-stop/fault</t>
  </si>
  <si>
    <t>Chốt binary frame, unit/endian/CRC/timeout và tạo MCU simulator.</t>
  </si>
  <si>
    <t>INT-09</t>
  </si>
  <si>
    <t>Telemetry pose</t>
  </si>
  <si>
    <t>R06/R05 → R02 → C06/U03</t>
  </si>
  <si>
    <t>ROS 2 + WSS</t>
  </si>
  <si>
    <t>robot.pose</t>
  </si>
  <si>
    <t>{
  "message_type": "robot.pose",
  "robot_id": "ROBOT-001",
  "session_id": "",
  "sequence": 901,
  "timestamp": "2026-07-29T09:20:16+07:00",
  "ttl_ms": 0,
  "payload": {
    "map_id": "MAP-001",
    "map_version": "1.0.0",
    "x": 5.5,
    "y": 6.0,
    "yaw": 0.0,
    "linear_velocity": 0.0,
    "angular_velocity": 0.0
  }
}</t>
  </si>
  <si>
    <t>Frontend marker + history/sampling</t>
  </si>
  <si>
    <t>Map TF/odom thật, map_version và timestamp sync.</t>
  </si>
  <si>
    <t>INT-10</t>
  </si>
  <si>
    <t>Health/BMS</t>
  </si>
  <si>
    <t>R01/R06/R13 → C06/C12</t>
  </si>
  <si>
    <t>{
  "message_type": "robot.health",
  "robot_id": "ROBOT-001",
  "sequence": 902,
  "timestamp": "2026-07-29T09:20:16+07:00",
  "ttl_ms": 0,
  "payload": {
    "battery": {
      "soc_percent": 78,
      "voltage_v": 25.4,
      "current_a": -1.8,
      "temperature_c": 36.2,
      "charging": false
    },
    "system": {
      "cpu_percent": 42,
      "ram_percent": 55,
      "temperature_c": 61
    },
    "camera": "online",
    "lidar": "online",
    "mcu": "online",
    "safety": "ready"
  }
}</t>
  </si>
  <si>
    <t>Dashboard + alerts + readiness</t>
  </si>
  <si>
    <t>Mở rộng schema và nối nguồn thật; hiện payload phẳng/mô phỏng.</t>
  </si>
  <si>
    <t>simulator/client.py</t>
  </si>
  <si>
    <t>INT-11</t>
  </si>
  <si>
    <t>Navigation goal</t>
  </si>
  <si>
    <t>U03/C11 → C05 → R03/R05</t>
  </si>
  <si>
    <t>REST + WSS + Nav2</t>
  </si>
  <si>
    <t>navigation.goal</t>
  </si>
  <si>
    <t>{
  "message_type": "navigation.goal",
  "robot_id": "ROBOT-001",
  "session_id": "sess-001",
  "sequence": 1850,
  "timestamp": "2026-07-29T09:21:00+07:00",
  "ttl_ms": 5000,
  "payload": {
    "location_id": "DEST-001",
    "map_id": "MAP-001",
    "map_version": "1.0.0"
  }
}</t>
  </si>
  <si>
    <t>navigation.status accepted/planning/moving/blocked/arrived/failed</t>
  </si>
  <si>
    <t>Current code sends route_id + points; production nên gửi location/map version rồi Nav2 plan.</t>
  </si>
  <si>
    <t>app/api/navigation.py</t>
  </si>
  <si>
    <t>INT-12</t>
  </si>
  <si>
    <t>Map/location/zone</t>
  </si>
  <si>
    <t>C11 ↔ R05/U03</t>
  </si>
  <si>
    <t>REST/package</t>
  </si>
  <si>
    <t>GET /api/maps/{id}; destinations</t>
  </si>
  <si>
    <t>{
  "map_id": "MAP-001",
  "version": "1.0.0",
  "resolution_m_per_pixel": 0.05,
  "origin": {
    "x": 0,
    "y": 0,
    "yaw": 0
  },
  "locations": [
    {
      "location_id": "DEST-001",
      "name": "Cổng chính",
      "x": 2.5,
      "y": 7.0,
      "yaw": 1.57
    }
  ],
  "zones": [
    {
      "zone_id": "NO-GO-01",
      "type": "no_go",
      "polygon": [
        [
          1,
          1
        ],
        [
          2,
          1
        ],
        [
          2,
          2
        ],
        [
          1,
          2
        ]
      ]
    }
  ]
}</t>
  </si>
  <si>
    <t>Validated map package + checksum</t>
  </si>
  <si>
    <t>Thêm version/checksum/zones/tours/rollback.</t>
  </si>
  <si>
    <t>INT-13</t>
  </si>
  <si>
    <t>Safety event</t>
  </si>
  <si>
    <t>R07/R08 → C06/C12/U02</t>
  </si>
  <si>
    <t>safety.event</t>
  </si>
  <si>
    <t>{
  "message_type": "safety.event",
  "robot_id": "ROBOT-001",
  "session_id": "sess-001",
  "sequence": 910,
  "timestamp": "2026-07-29T09:22:01+07:00",
  "ttl_ms": 0,
  "payload": {
    "state": "stopped",
    "reason_code": "SAFETY_ESTOP_ACTIVE",
    "source": "physical_estop",
    "latched": true,
    "commanded_vx": 0.25,
    "actual_vx": 0.0
  }
}</t>
  </si>
  <si>
    <t>UI lock + incident/audit</t>
  </si>
  <si>
    <t>Thêm schema, Safety Manager, DB event và UI.</t>
  </si>
  <si>
    <t>INT-14</t>
  </si>
  <si>
    <t>LiveKit media</t>
  </si>
  <si>
    <t>R09/R10 ↔ C07 ↔ Web</t>
  </si>
  <si>
    <t>WebRTC</t>
  </si>
  <si>
    <t>room robot-ROBOT-001</t>
  </si>
  <si>
    <t>{
  "room": "robot-ROBOT-001",
  "robot_identity": "robot:ROBOT-001",
  "user_identity": "user:user-001:session:sess-001",
  "tracks": [
    "camera",
    "robot-microphone",
    "user-microphone"
  ]
}</t>
  </si>
  <si>
    <t>H.264/Opus tracks + ICE recovery</t>
  </si>
  <si>
    <t>Production TLS/TURN/CGNAT; MPP/AEC/adaptation/stats.</t>
  </si>
  <si>
    <t>INT-15</t>
  </si>
  <si>
    <t>Translation streaming</t>
  </si>
  <si>
    <t>R10/Web ↔ C08 ↔ R11</t>
  </si>
  <si>
    <t>WebRTC data/WS</t>
  </si>
  <si>
    <t>translation.partial/final</t>
  </si>
  <si>
    <t>{
  "message_type": "translation.final",
  "robot_id": "ROBOT-001",
  "session_id": "sess-001",
  "sequence": 120,
  "timestamp": "2026-07-29T09:23:00+07:00",
  "ttl_ms": 10000,
  "payload": {
    "utterance_id": "utt-001",
    "speaker": "local",
    "source_language": "vi-VN",
    "target_language": "en-US",
    "source_text": "Đây là Văn Miếu.",
    "translated_text": "This is the Temple of Literature.",
    "confidence": 0.94,
    "glossary_version": "tourism-vi-en@3"
  }
}</t>
  </si>
  <si>
    <t>Subtitle + TTS audio chunks</t>
  </si>
  <si>
    <t>Thêm contract types, provider adapter, glossary, barge-in/fallback.</t>
  </si>
  <si>
    <t>Robot_Telepresence...docx VI/VIII</t>
  </si>
  <si>
    <t>INT-16</t>
  </si>
  <si>
    <t>Vision snapshot</t>
  </si>
  <si>
    <t>U05/R09 → C09</t>
  </si>
  <si>
    <t>REST async</t>
  </si>
  <si>
    <t>POST /api/v1/vision/requests</t>
  </si>
  <si>
    <t>{
  "robot_id": "ROBOT-001",
  "session_id": "sess-001",
  "question": "Trước mắt là gì?",
  "snapshot_object_key": "sessions/sess-001/20260729T092400Z.jpg",
  "context": {
    "map_id": "MAP-001",
    "location_id": "DEST-001",
    "pose": {
      "x": 2.5,
      "y": 7.0,
      "yaw": 1.57
    }
  }
}</t>
  </si>
  <si>
    <t>job_id rồi vision.result {answer,confidence,objects,source_ids}</t>
  </si>
  <si>
    <t>Cần snapshot/photo storage, privacy/retention và provider.</t>
  </si>
  <si>
    <t>INT-17</t>
  </si>
  <si>
    <t>C09/U05 ↔ C10</t>
  </si>
  <si>
    <t>REST/internal</t>
  </si>
  <si>
    <t>POST /api/v1/rag/query</t>
  </si>
  <si>
    <t>{
  "query": "Văn Miếu được xây dựng khi nào?",
  "language": "vi",
  "site_id": "SITE-HANOI-01",
  "location_id": "DEST-001",
  "knowledge_version": "2026.07"
}</t>
  </si>
  <si>
    <t>answer; confidence; citations[{source_id,title,version}]</t>
  </si>
  <si>
    <t>Cần corpus, metadata, evaluation, guardrail và admin workflow.</t>
  </si>
  <si>
    <t>INT-18</t>
  </si>
  <si>
    <t>C04/C08/C12 → R11</t>
  </si>
  <si>
    <t>WSS/WebRTC</t>
  </si>
  <si>
    <t>session.state + translation.final</t>
  </si>
  <si>
    <t>{
  "message_type": "session.state",
  "robot_id": "ROBOT-001",
  "session_id": "sess-001",
  "sequence": 20,
  "timestamp": "2026-07-29T09:25:00+07:00",
  "ttl_ms": 0,
  "payload": {
    "state": "active",
    "camera_active": true,
    "microphone_active": true,
    "privacy_notice": true
  }
}</t>
  </si>
  <si>
    <t>Kiosk UI/avatar/video/subtitle</t>
  </si>
  <si>
    <t>Thêm message types và robot-display app.</t>
  </si>
  <si>
    <t>Module hệ thống R11</t>
  </si>
  <si>
    <t>INT-19</t>
  </si>
  <si>
    <t>Monitoring/alert</t>
  </si>
  <si>
    <t>Tất cả → C12</t>
  </si>
  <si>
    <t>OTLP/metrics/log</t>
  </si>
  <si>
    <t>OTel resource + robot.alert</t>
  </si>
  <si>
    <t>{
  "severity": "critical",
  "alert_code": "ROBOT_HEARTBEAT_LOST",
  "robot_id": "ROBOT-001",
  "site_id": "SITE-HANOI-01",
  "session_id": "sess-001",
  "message_id": "7b8e5c52-0d74-4f8e-b97e-4f7ff8aa1999",
  "occurred_at": "2026-07-29T09:26:00+07:00",
  "detail": {
    "last_seen_ms": 620
  }
}</t>
  </si>
  <si>
    <t>Incident/timeline/runbook link</t>
  </si>
  <si>
    <t>Instrument, retention, dedup/silence và dashboard.</t>
  </si>
  <si>
    <t>INT-20</t>
  </si>
  <si>
    <t>C13 ↔ R01/R02/R08</t>
  </si>
  <si>
    <t>{
  "release_id": "robot-edge-1.2.0",
  "target": "robot-agent",
  "version": "1.2.0",
  "url": "https://updates.example.com/robot-agent-1.2.0.tar.zst",
  "sha256": "&lt;64-hex&gt;",
  "signature": "&lt;base64&gt;",
  "min_battery_percent": 50,
  "rollout": {
    "channel": "canary",
    "percent": 10
  },
  "rollback_version": "1.1.0"
}</t>
  </si>
  <si>
    <t>download/install/health/rollback status</t>
  </si>
  <si>
    <t>Artifact signing, resume, health gate và failure tests.</t>
  </si>
  <si>
    <t>INT-21</t>
  </si>
  <si>
    <t>Support takeover</t>
  </si>
  <si>
    <t>Admin ↔ C02/C04/C05 ↔ U02</t>
  </si>
  <si>
    <t>REST + WSS</t>
  </si>
  <si>
    <t>POST /api/v1/sessions/{id}/control-lease</t>
  </si>
  <si>
    <t>{
  "action": "takeover",
  "reason": "Khách yêu cầu hỗ trợ",
  "requested_by": "support-001",
  "expected_lease_version": 7
}</t>
  </si>
  <si>
    <t>session.state/control.revoked + audit</t>
  </si>
  <si>
    <t>RBAC, optimistic version, notification và STOP handover.</t>
  </si>
  <si>
    <t>Mockup AT-11</t>
  </si>
  <si>
    <t>INT-22</t>
  </si>
  <si>
    <t>Ảnh theo phiên</t>
  </si>
  <si>
    <t>U02/R09 ↔ Storage</t>
  </si>
  <si>
    <t>REST/object</t>
  </si>
  <si>
    <t>GET /api/v1/sessions/{id}/photos</t>
  </si>
  <si>
    <t>{
  "photo_id": "photo-001",
  "session_id": "sess-001",
  "robot_id": "ROBOT-001",
  "captured_at": "2026-07-29T09:27:00+07:00",
  "object_key": "sessions/sess-001/photo-001.jpg",
  "thumbnail_url": "https://signed.example/...",
  "expires_at": "2026-07-29T09:32:00+07:00"
}</t>
  </si>
  <si>
    <t>Signed URL ngắn hạn + retention</t>
  </si>
  <si>
    <t>Cần photo.capture, storage, consent và API.</t>
  </si>
  <si>
    <t>Mockup VIII</t>
  </si>
  <si>
    <t>CHECKLIST NGHIỆM THU VÀ FIELD TEST</t>
  </si>
  <si>
    <t>Bấm checkbox cột A khi kịch bản đã chạy trên đúng môi trường và có bằng chứng. Dòng đạt sẽ chuyển xanh.</t>
  </si>
  <si>
    <t>Đạt</t>
  </si>
  <si>
    <t>Mã</t>
  </si>
  <si>
    <t>Kịch bản</t>
  </si>
  <si>
    <t>Điều kiện đạt</t>
  </si>
  <si>
    <t>Module liên quan</t>
  </si>
  <si>
    <t>Bằng chứng cần lưu</t>
  </si>
  <si>
    <t>Người kiểm</t>
  </si>
  <si>
    <t>Ngày kiểm</t>
  </si>
  <si>
    <t>AT-01</t>
  </si>
  <si>
    <t>Kết nối robot qua mạng khác NAT</t>
  </si>
  <si>
    <t>Video/audio lên trong ≤10 giây qua TURN khi cần.</t>
  </si>
  <si>
    <t>C07, R09, U02</t>
  </si>
  <si>
    <t>Chưa chạy</t>
  </si>
  <si>
    <t>Log ICE route; timestamp click→first frame/audio.</t>
  </si>
  <si>
    <t>AT-02</t>
  </si>
  <si>
    <t>Điều khiển tiến/lùi/quay</t>
  </si>
  <si>
    <t>Robot phản hồi đúng; nhả điều khiển dừng; không vượt speed/acceleration limit.</t>
  </si>
  <si>
    <t>R03, R04, R07, R08</t>
  </si>
  <si>
    <t>Chưa chạy robot thật</t>
  </si>
  <si>
    <t>Encoder + command timestamp + video.</t>
  </si>
  <si>
    <t>Mất heartbeat</t>
  </si>
  <si>
    <t>Robot dừng trong ≤500 ms.</t>
  </si>
  <si>
    <t>R02, R04, R07, R08</t>
  </si>
  <si>
    <t>Simulator có watchdog; chưa HIL</t>
  </si>
  <si>
    <t>Ngắt mạng có chủ đích, đo commanded/actual velocity.</t>
  </si>
  <si>
    <t>Dừng khẩn UI và vật lý</t>
  </si>
  <si>
    <t>Robot dừng, UI khóa, event có reason/timestamp; vật lý độc lập Linux.</t>
  </si>
  <si>
    <t>R07, R08, U02, C12</t>
  </si>
  <si>
    <t>HIL + video + MCU log + audit DB.</t>
  </si>
  <si>
    <t>AT-05</t>
  </si>
  <si>
    <t>Mạng yếu</t>
  </si>
  <si>
    <t>Video tự giảm chất lượng; audio/control vẫn ưu tiên.</t>
  </si>
  <si>
    <t>C07, R09, R10</t>
  </si>
  <si>
    <t>Một phần reconnect</t>
  </si>
  <si>
    <t>tc/netem + WebRTC stats.</t>
  </si>
  <si>
    <t>AT-06</t>
  </si>
  <si>
    <t>AEC double-talk</t>
  </si>
  <si>
    <t>Không vòng lặp; nhận được lời gần mic khi loa đang phát.</t>
  </si>
  <si>
    <t>File âm chuẩn + mic/loa robot thật + WER/ERLE.</t>
  </si>
  <si>
    <t>AT-07</t>
  </si>
  <si>
    <t>Dịch khách → địa phương</t>
  </si>
  <si>
    <t>Có phụ đề và tiếng dịch đầu tiên trong mục tiêu ≤2 giây điển hình.</t>
  </si>
  <si>
    <t>C08, U04, R11</t>
  </si>
  <si>
    <t>Speech timestamps và glossary dataset.</t>
  </si>
  <si>
    <t>AT-08</t>
  </si>
  <si>
    <t>Dịch địa phương → khách</t>
  </si>
  <si>
    <t>Khách nghe bản dịch, có transcript nguồn/đích.</t>
  </si>
  <si>
    <t>C08, U04</t>
  </si>
  <si>
    <t>4 môi trường âm thanh + confidence.</t>
  </si>
  <si>
    <t>AT-09</t>
  </si>
  <si>
    <t>PTZ và chụp ảnh</t>
  </si>
  <si>
    <t>Camera phản hồi; ảnh lưu đúng session và quyền tải.</t>
  </si>
  <si>
    <t>R09, U02</t>
  </si>
  <si>
    <t>ACK PTZ + object metadata + access audit.</t>
  </si>
  <si>
    <t>AT-10</t>
  </si>
  <si>
    <t>Reconnect</t>
  </si>
  <si>
    <t>Khôi phục media; robot không tự chạy lại lệnh trước đó.</t>
  </si>
  <si>
    <t>R02, C07, U02</t>
  </si>
  <si>
    <t>Logic demo có</t>
  </si>
  <si>
    <t>Ngắt 1/5/15/30 giây, lặp ≥100 lần.</t>
  </si>
  <si>
    <t>AT-11</t>
  </si>
  <si>
    <t>Takeover hỗ trợ</t>
  </si>
  <si>
    <t>Nhân viên giành quyền; khách mất quyền và được thông báo; có audit.</t>
  </si>
  <si>
    <t>C02, C04, U02</t>
  </si>
  <si>
    <t>Concurrency test hai client.</t>
  </si>
  <si>
    <t>AT-12</t>
  </si>
  <si>
    <t>Kết thúc phiên</t>
  </si>
  <si>
    <t>Robot dừng, quyền khóa, log/thống kê lưu.</t>
  </si>
  <si>
    <t>C04, C05, R07</t>
  </si>
  <si>
    <t>REST/WS/robot/event DB evidence.</t>
  </si>
  <si>
    <t>FT-01</t>
  </si>
  <si>
    <t>Camera/encoder/nhiệt 2 giờ</t>
  </si>
  <si>
    <t>Không treo; hardware encode; nhiệt trong giới hạn thiết kế.</t>
  </si>
  <si>
    <t>R01, R09</t>
  </si>
  <si>
    <t>Dashboard nhiệt/CPU/frame progress.</t>
  </si>
  <si>
    <t>FT-02</t>
  </si>
  <si>
    <t>Wi-Fi + 4G/5G hai nhà mạng</t>
  </si>
  <si>
    <t>Control/media/telemetry đạt ngưỡng hoặc hạ cấp an toàn.</t>
  </si>
  <si>
    <t>C07, R02, R09</t>
  </si>
  <si>
    <t>Bảng RTT/jitter/loss/reconnect/TURN.</t>
  </si>
  <si>
    <t>FT-03</t>
  </si>
  <si>
    <t>Browser matrix</t>
  </si>
  <si>
    <t>Chrome/Edge/Safari theo phạm vi; quyền camera/mic và codec đúng.</t>
  </si>
  <si>
    <t>U01, U02, U04</t>
  </si>
  <si>
    <t>Playwright/manual matrix.</t>
  </si>
  <si>
    <t>FT-04</t>
  </si>
  <si>
    <t>Pin và mất nguồn/reboot</t>
  </si>
  <si>
    <t>Không reset do motor/modem; reboot tự lên; critical shutdown đúng policy.</t>
  </si>
  <si>
    <t>R01, R13</t>
  </si>
  <si>
    <t>Power logger + system boot logs.</t>
  </si>
  <si>
    <t>FT-05</t>
  </si>
  <si>
    <t>Soak 72 giờ</t>
  </si>
  <si>
    <t>Không leak/disk full/deadlock; service tự phục hồi; safety deadline ổn.</t>
  </si>
  <si>
    <t>Toàn hệ thống</t>
  </si>
  <si>
    <t>Metrics/log/incident summary.</t>
  </si>
  <si>
    <t>CỔNG PHỤ THUỘC VÀ THỨ TỰ TRIỂN KHAI</t>
  </si>
  <si>
    <t>Không đảo thứ tự làm AI/UI trước khi đường điều khiển an toàn được kiểm chứng trên robot thật.</t>
  </si>
  <si>
    <t>Cổng</t>
  </si>
  <si>
    <t>Giai đoạn</t>
  </si>
  <si>
    <t>Phạm vi bắt buộc</t>
  </si>
  <si>
    <t>Điều kiện qua cổng</t>
  </si>
  <si>
    <t>Lưu ý</t>
  </si>
  <si>
    <t>Gate 1</t>
  </si>
  <si>
    <t>Khung gầm &amp; an toàn</t>
  </si>
  <si>
    <t>R08 MCU + E-stop + watchdog; R03 base driver; R07 Safety</t>
  </si>
  <si>
    <t>Mất lệnh/Orange Pi robot tự dừng; E-stop độc lập.</t>
  </si>
  <si>
    <t>Không cho robot thật chạy remote trước khi đạt.</t>
  </si>
  <si>
    <t>Gate 2</t>
  </si>
  <si>
    <t>Cảm biến &amp; Nav2</t>
  </si>
  <si>
    <t>R06 sensor/TF/fusion; R05 Nav2; collision/no-go</t>
  </si>
  <si>
    <t>Đi waypoint và tránh vật cản an toàn tại khu thử.</t>
  </si>
  <si>
    <t>Dùng simulator song song nhưng không xem là nghiệm thu robot thật.</t>
  </si>
  <si>
    <t>Gate 3</t>
  </si>
  <si>
    <t>Kết nối trung tâm</t>
  </si>
  <si>
    <t>R02, C01-C06, contracts, credential/TLS</t>
  </si>
  <si>
    <t>Remote control ổn định; mất mạng dừng; không replay.</t>
  </si>
  <si>
    <t>Mã hiện tại gần nhất với gate này nhưng còn production hardening.</t>
  </si>
  <si>
    <t>Gate 4</t>
  </si>
  <si>
    <t>Video &amp; audio</t>
  </si>
  <si>
    <t>R09, R10, C07, TURN</t>
  </si>
  <si>
    <t>Hai chiều ổn định qua mạng thật; AEC/NS đạt.</t>
  </si>
  <si>
    <t>AEC và 4G/5G cần thử sớm.</t>
  </si>
  <si>
    <t>Gate 5</t>
  </si>
  <si>
    <t>Giao diện người dùng</t>
  </si>
  <si>
    <t>U01-U04, R11</t>
  </si>
  <si>
    <t>Người dùng hoàn thành tour cơ bản không cần UI kỹ thuật.</t>
  </si>
  <si>
    <t>Nút STOP và trạng thái quyền luôn nhìn thấy.</t>
  </si>
  <si>
    <t>Gate 6</t>
  </si>
  <si>
    <t>Dịch &amp; AI</t>
  </si>
  <si>
    <t>C08-C10, U04-U05, R12</t>
  </si>
  <si>
    <t>Fallback rõ; AI không chạm trực tiếp motor/pose.</t>
  </si>
  <si>
    <t>Chỉ tích hợp sau khi audio input đủ sạch.</t>
  </si>
  <si>
    <t>Gate 7</t>
  </si>
  <si>
    <t>Vận hành nhiều robot</t>
  </si>
  <si>
    <t>C12-C13, Admin, audit, OTA</t>
  </si>
  <si>
    <t>Quản lý fleet, rollback và truy vết sự cố.</t>
  </si>
  <si>
    <t>Cần trước field rollout quy mô.</t>
  </si>
  <si>
    <t>NGUỒN ĐỐI CHIẾU</t>
  </si>
  <si>
    <t>Danh sách tài liệu và tệp mã chính dùng để đánh giá hiện trạng và lập backlog.</t>
  </si>
  <si>
    <t>Nhóm</t>
  </si>
  <si>
    <t>Tệp</t>
  </si>
  <si>
    <t>Phạm vi đã dùng</t>
  </si>
  <si>
    <t>Yêu cầu</t>
  </si>
  <si>
    <t>docs/Module_HeThong.docx</t>
  </si>
  <si>
    <t>Module R01-R13, C01-C13, U01-U05; contract; thứ tự; DoD.</t>
  </si>
  <si>
    <t>Tài liệu thiết kế module hệ thống.</t>
  </si>
  <si>
    <t>docs/Robot_Telepresence_GiaiDoan1_GiaiPhap_TinhNang_Luong_Mockup.docx</t>
  </si>
  <si>
    <t>MVP, API/sự kiện, audio/dịch, UI mockup, AT-01…AT-12, field checklist.</t>
  </si>
  <si>
    <t>Tài liệu giải pháp và mockup giai đoạn 1.</t>
  </si>
  <si>
    <t>Kiến trúc mã</t>
  </si>
  <si>
    <t>README.md; docs/architecture.md</t>
  </si>
  <si>
    <t>Cấu trúc repo, sequence, phần mock có chủ đích.</t>
  </si>
  <si>
    <t>Nguồn chính để phân biệt demo và production.</t>
  </si>
  <si>
    <t>API/Contract</t>
  </si>
  <si>
    <t>docs/api.md; docs/websocket-protocol.md; src/packages/contracts/message.schema.json</t>
  </si>
  <si>
    <t>REST/WS hiện có và envelope.</t>
  </si>
  <si>
    <t>Phát hiện lệch payload vận tốc với tài liệu mockup.</t>
  </si>
  <si>
    <t>src/apps/center-backend/app</t>
  </si>
  <si>
    <t>Auth, registry, sessions, navigation, WSS hub, DB models, LiveKit token.</t>
  </si>
  <si>
    <t>Đã kiểm route và service chính.</t>
  </si>
  <si>
    <t>src/apps/center-frontend/src</t>
  </si>
  <si>
    <t>Login, robot CRUD/config, dashboard, joystick, map, media recovery.</t>
  </si>
  <si>
    <t>Đã kiểm page/component/transport/test.</t>
  </si>
  <si>
    <t>Edge simulator</t>
  </si>
  <si>
    <t>demo/robot-simulator</t>
  </si>
  <si>
    <t>Credential, WSS, motion/nav simulation, media file/RTSP/USB, device state.</t>
  </si>
  <si>
    <t>Không được xem là ROS 2/MCU robot thật.</t>
  </si>
  <si>
    <t>Hạ tầng</t>
  </si>
  <si>
    <t>docker-compose.yml; src/infrastructure</t>
  </si>
  <si>
    <t>PostgreSQL, Redis, LiveKit, Coturn, app containers.</t>
  </si>
  <si>
    <t>Redis hiện chưa được dùng cho session/presence lease.</t>
  </si>
  <si>
    <t>sample-data/maps; sample-data/routes; sample-data/robots</t>
  </si>
  <si>
    <t>Map/destination/route/robot demo.</t>
  </si>
  <si>
    <t>Cần mở rộng zone/tour/version và fixtures AI/hardware.</t>
  </si>
  <si>
    <t>Kiểm thử</t>
  </si>
  <si>
    <t>docs/testing.md; */tests; demo/e2e</t>
  </si>
  <si>
    <t>Unit/integration/E2E hiện có.</t>
  </si>
  <si>
    <t>Chưa có HIL/network/audio/soak/security field evidence.</t>
  </si>
</sst>
</file>

<file path=xl/styles.xml><?xml version="1.0" encoding="utf-8"?>
<styleSheet xmlns="http://schemas.openxmlformats.org/spreadsheetml/2006/main">
  <numFmts count="1">
    <numFmt numFmtId="164" formatCode="0%"/>
  </numFmts>
  <fonts count="1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sz val="10"/>
      <color rgb="FFDDE7F7"/>
      <name val="Aptos"/>
      <family val="2"/>
    </font>
    <font>
      <b/>
      <sz val="10"/>
      <color rgb="FFFFFFFF"/>
      <name val="Aptos"/>
      <family val="2"/>
    </font>
    <font>
      <sz val="12"/>
      <color rgb="FF162238"/>
      <name val="Aptos"/>
      <family val="2"/>
    </font>
    <font>
      <sz val="10"/>
      <color rgb="FF162238"/>
      <name val="Aptos"/>
      <family val="2"/>
    </font>
    <font>
      <b/>
      <sz val="10"/>
      <color rgb="FF1759D6"/>
      <name val="Aptos"/>
      <family val="2"/>
    </font>
    <font>
      <b/>
      <sz val="20"/>
      <color rgb="FF10203D"/>
      <name val="Aptos"/>
      <family val="2"/>
    </font>
    <font>
      <b/>
      <sz val="20"/>
      <color rgb="FF176B3A"/>
      <name val="Aptos"/>
      <family val="2"/>
    </font>
    <font>
      <b/>
      <sz val="12"/>
      <color rgb="FFFFFFFF"/>
      <name val="Aptos"/>
      <family val="2"/>
    </font>
    <font>
      <sz val="9"/>
      <color rgb="FF162238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0203D"/>
        <bgColor indexed="64"/>
      </patternFill>
    </fill>
    <fill>
      <patternFill patternType="solid">
        <fgColor rgb="FF1759D6"/>
        <bgColor indexed="64"/>
      </patternFill>
    </fill>
    <fill>
      <patternFill patternType="solid">
        <fgColor rgb="FFDCE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D"/>
        <bgColor indexed="64"/>
      </patternFill>
    </fill>
  </fills>
  <borders count="4">
    <border>
      <left/>
      <right/>
      <top/>
      <bottom/>
      <diagonal/>
    </border>
    <border>
      <left style="thin">
        <color rgb="FF0F49B4"/>
      </left>
      <right style="thin">
        <color rgb="FF0F49B4"/>
      </right>
      <top style="thin">
        <color rgb="FF0F49B4"/>
      </top>
      <bottom style="thin">
        <color rgb="FF0F49B4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 style="thin">
        <color rgb="FFC8D0DB"/>
      </left>
      <right style="thin">
        <color rgb="FFC8D0DB"/>
      </right>
      <top style="thin">
        <color rgb="FFC8D0DB"/>
      </top>
      <bottom style="thin">
        <color rgb="FFC8D0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164" fontId="8" fillId="5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5" fillId="6" borderId="3" xfId="0" applyFont="1" applyFill="1" applyBorder="1" applyAlignment="1">
      <alignment vertical="top" wrapText="1"/>
    </xf>
    <xf numFmtId="164" fontId="5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5">
    <dxf>
      <font>
        <color rgb="FF176B3A"/>
      </font>
      <fill>
        <patternFill>
          <bgColor rgb="FFC6EFCE"/>
        </patternFill>
      </fill>
    </dxf>
    <dxf>
      <font>
        <b/>
        <color rgb="FFA12622"/>
      </font>
      <fill>
        <patternFill>
          <bgColor rgb="FFFCE8E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1759D6"/>
      </font>
      <fill>
        <patternFill>
          <bgColor rgb="FFDCEBFF"/>
        </patternFill>
      </fill>
    </dxf>
    <dxf>
      <font>
        <b/>
        <color rgb="FF176B3A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9.7109375" customWidth="1"/>
    <col min="4" max="4" width="12.7109375" customWidth="1"/>
    <col min="5" max="5" width="34.7109375" customWidth="1"/>
    <col min="6" max="6" width="38.7109375" customWidth="1"/>
    <col min="7" max="7" width="31.7109375" customWidth="1"/>
    <col min="8" max="8" width="38.7109375" customWidth="1"/>
    <col min="9" max="9" width="10.7109375" customWidth="1"/>
    <col min="10" max="10" width="12.7109375" customWidth="1"/>
    <col min="11" max="11" width="23.7109375" customWidth="1"/>
    <col min="12" max="12" width="31.7109375" customWidth="1"/>
    <col min="13" max="13" width="33.7109375" customWidth="1"/>
    <col min="14" max="14" width="20.7109375" customWidth="1"/>
    <col min="15" max="15" width="9.7109375" customWidth="1"/>
    <col min="16" max="16" width="22.7109375" customWidth="1"/>
    <col min="17" max="17" width="25.7109375" customWidth="1"/>
  </cols>
  <sheetData>
    <row r="1" spans="1:17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4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64" customHeight="1">
      <c r="A5" s="4" t="b">
        <v>0</v>
      </c>
      <c r="B5" s="5" t="s">
        <v>19</v>
      </c>
      <c r="C5" s="6" t="s">
        <v>20</v>
      </c>
      <c r="D5" s="5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5" t="s">
        <v>26</v>
      </c>
      <c r="J5" s="5" t="s">
        <v>27</v>
      </c>
      <c r="K5" s="6" t="s">
        <v>28</v>
      </c>
      <c r="L5" s="6" t="s">
        <v>29</v>
      </c>
      <c r="M5" s="6" t="s">
        <v>30</v>
      </c>
      <c r="N5" s="5" t="s">
        <v>31</v>
      </c>
      <c r="O5" s="5" t="s">
        <v>32</v>
      </c>
      <c r="P5" s="6" t="s">
        <v>33</v>
      </c>
      <c r="Q5" s="6"/>
    </row>
    <row r="6" spans="1:17" ht="64" customHeight="1">
      <c r="A6" s="4" t="b">
        <v>1</v>
      </c>
      <c r="B6" s="5" t="s">
        <v>34</v>
      </c>
      <c r="C6" s="6" t="s">
        <v>20</v>
      </c>
      <c r="D6" s="5" t="s">
        <v>35</v>
      </c>
      <c r="E6" s="6" t="s">
        <v>36</v>
      </c>
      <c r="F6" s="6" t="s">
        <v>37</v>
      </c>
      <c r="G6" s="6" t="s">
        <v>38</v>
      </c>
      <c r="H6" s="6" t="s">
        <v>39</v>
      </c>
      <c r="I6" s="5" t="s">
        <v>26</v>
      </c>
      <c r="J6" s="5" t="s">
        <v>27</v>
      </c>
      <c r="K6" s="6" t="s">
        <v>40</v>
      </c>
      <c r="L6" s="6" t="s">
        <v>41</v>
      </c>
      <c r="M6" s="6" t="s">
        <v>42</v>
      </c>
      <c r="N6" s="5" t="s">
        <v>43</v>
      </c>
      <c r="O6" s="5" t="s">
        <v>44</v>
      </c>
      <c r="P6" s="6" t="s">
        <v>45</v>
      </c>
      <c r="Q6" s="6"/>
    </row>
    <row r="7" spans="1:17" ht="64" customHeight="1">
      <c r="A7" s="4" t="b">
        <v>0</v>
      </c>
      <c r="B7" s="5" t="s">
        <v>46</v>
      </c>
      <c r="C7" s="6" t="s">
        <v>20</v>
      </c>
      <c r="D7" s="5" t="s">
        <v>35</v>
      </c>
      <c r="E7" s="6" t="s">
        <v>47</v>
      </c>
      <c r="F7" s="6" t="s">
        <v>48</v>
      </c>
      <c r="G7" s="6" t="s">
        <v>49</v>
      </c>
      <c r="H7" s="6" t="s">
        <v>50</v>
      </c>
      <c r="I7" s="5" t="s">
        <v>26</v>
      </c>
      <c r="J7" s="5" t="s">
        <v>27</v>
      </c>
      <c r="K7" s="6" t="s">
        <v>51</v>
      </c>
      <c r="L7" s="6" t="s">
        <v>52</v>
      </c>
      <c r="M7" s="6" t="s">
        <v>53</v>
      </c>
      <c r="N7" s="5" t="s">
        <v>54</v>
      </c>
      <c r="O7" s="5" t="s">
        <v>44</v>
      </c>
      <c r="P7" s="6" t="s">
        <v>55</v>
      </c>
      <c r="Q7" s="6" t="s">
        <v>56</v>
      </c>
    </row>
    <row r="8" spans="1:17" ht="64" customHeight="1">
      <c r="A8" s="4" t="b">
        <v>0</v>
      </c>
      <c r="B8" s="5" t="s">
        <v>57</v>
      </c>
      <c r="C8" s="6" t="s">
        <v>20</v>
      </c>
      <c r="D8" s="5" t="s">
        <v>35</v>
      </c>
      <c r="E8" s="6" t="s">
        <v>58</v>
      </c>
      <c r="F8" s="6" t="s">
        <v>59</v>
      </c>
      <c r="G8" s="6" t="s">
        <v>60</v>
      </c>
      <c r="H8" s="6" t="s">
        <v>61</v>
      </c>
      <c r="I8" s="5" t="s">
        <v>26</v>
      </c>
      <c r="J8" s="5" t="s">
        <v>27</v>
      </c>
      <c r="K8" s="6" t="s">
        <v>62</v>
      </c>
      <c r="L8" s="6" t="s">
        <v>63</v>
      </c>
      <c r="M8" s="6" t="s">
        <v>64</v>
      </c>
      <c r="N8" s="5" t="s">
        <v>65</v>
      </c>
      <c r="O8" s="5" t="s">
        <v>32</v>
      </c>
      <c r="P8" s="6" t="s">
        <v>66</v>
      </c>
      <c r="Q8" s="6"/>
    </row>
    <row r="9" spans="1:17" ht="64" customHeight="1">
      <c r="A9" s="4" t="b">
        <v>0</v>
      </c>
      <c r="B9" s="5" t="s">
        <v>67</v>
      </c>
      <c r="C9" s="6" t="s">
        <v>20</v>
      </c>
      <c r="D9" s="5" t="s">
        <v>68</v>
      </c>
      <c r="E9" s="6" t="s">
        <v>69</v>
      </c>
      <c r="F9" s="6" t="s">
        <v>70</v>
      </c>
      <c r="G9" s="6" t="s">
        <v>71</v>
      </c>
      <c r="H9" s="6" t="s">
        <v>72</v>
      </c>
      <c r="I9" s="5" t="s">
        <v>26</v>
      </c>
      <c r="J9" s="5" t="s">
        <v>27</v>
      </c>
      <c r="K9" s="6" t="s">
        <v>73</v>
      </c>
      <c r="L9" s="6" t="s">
        <v>74</v>
      </c>
      <c r="M9" s="6" t="s">
        <v>75</v>
      </c>
      <c r="N9" s="5" t="s">
        <v>76</v>
      </c>
      <c r="O9" s="5" t="s">
        <v>32</v>
      </c>
      <c r="P9" s="6" t="s">
        <v>77</v>
      </c>
      <c r="Q9" s="6"/>
    </row>
    <row r="10" spans="1:17" ht="64" customHeight="1">
      <c r="A10" s="4" t="b">
        <v>0</v>
      </c>
      <c r="B10" s="5" t="s">
        <v>78</v>
      </c>
      <c r="C10" s="6" t="s">
        <v>20</v>
      </c>
      <c r="D10" s="5" t="s">
        <v>79</v>
      </c>
      <c r="E10" s="6" t="s">
        <v>80</v>
      </c>
      <c r="F10" s="6" t="s">
        <v>81</v>
      </c>
      <c r="G10" s="6" t="s">
        <v>82</v>
      </c>
      <c r="H10" s="6" t="s">
        <v>83</v>
      </c>
      <c r="I10" s="5" t="s">
        <v>26</v>
      </c>
      <c r="J10" s="5" t="s">
        <v>84</v>
      </c>
      <c r="K10" s="6" t="s">
        <v>34</v>
      </c>
      <c r="L10" s="6" t="s">
        <v>85</v>
      </c>
      <c r="M10" s="6" t="s">
        <v>86</v>
      </c>
      <c r="N10" s="5" t="s">
        <v>87</v>
      </c>
      <c r="O10" s="5" t="s">
        <v>88</v>
      </c>
      <c r="P10" s="6" t="s">
        <v>89</v>
      </c>
      <c r="Q10" s="6"/>
    </row>
    <row r="11" spans="1:17" ht="64" customHeight="1">
      <c r="A11" s="4" t="b">
        <v>0</v>
      </c>
      <c r="B11" s="5" t="s">
        <v>90</v>
      </c>
      <c r="C11" s="6" t="s">
        <v>20</v>
      </c>
      <c r="D11" s="5" t="s">
        <v>91</v>
      </c>
      <c r="E11" s="6" t="s">
        <v>92</v>
      </c>
      <c r="F11" s="6" t="s">
        <v>93</v>
      </c>
      <c r="G11" s="6" t="s">
        <v>94</v>
      </c>
      <c r="H11" s="6" t="s">
        <v>95</v>
      </c>
      <c r="I11" s="5" t="s">
        <v>26</v>
      </c>
      <c r="J11" s="5" t="s">
        <v>96</v>
      </c>
      <c r="K11" s="6" t="s">
        <v>97</v>
      </c>
      <c r="L11" s="6" t="s">
        <v>98</v>
      </c>
      <c r="M11" s="6" t="s">
        <v>99</v>
      </c>
      <c r="N11" s="5" t="s">
        <v>100</v>
      </c>
      <c r="O11" s="5" t="s">
        <v>32</v>
      </c>
      <c r="P11" s="6" t="s">
        <v>101</v>
      </c>
      <c r="Q11" s="6"/>
    </row>
    <row r="12" spans="1:17" ht="64" customHeight="1">
      <c r="A12" s="4" t="b">
        <v>0</v>
      </c>
      <c r="B12" s="5" t="s">
        <v>102</v>
      </c>
      <c r="C12" s="6" t="s">
        <v>103</v>
      </c>
      <c r="D12" s="5" t="s">
        <v>104</v>
      </c>
      <c r="E12" s="6" t="s">
        <v>105</v>
      </c>
      <c r="F12" s="6" t="s">
        <v>106</v>
      </c>
      <c r="G12" s="6" t="s">
        <v>107</v>
      </c>
      <c r="H12" s="6" t="s">
        <v>108</v>
      </c>
      <c r="I12" s="5" t="s">
        <v>26</v>
      </c>
      <c r="J12" s="5" t="s">
        <v>27</v>
      </c>
      <c r="K12" s="6" t="s">
        <v>109</v>
      </c>
      <c r="L12" s="6" t="s">
        <v>110</v>
      </c>
      <c r="M12" s="6" t="s">
        <v>111</v>
      </c>
      <c r="N12" s="5" t="s">
        <v>112</v>
      </c>
      <c r="O12" s="5" t="s">
        <v>32</v>
      </c>
      <c r="P12" s="6" t="s">
        <v>113</v>
      </c>
      <c r="Q12" s="6"/>
    </row>
    <row r="13" spans="1:17" ht="64" customHeight="1">
      <c r="A13" s="4" t="b">
        <v>0</v>
      </c>
      <c r="B13" s="5" t="s">
        <v>114</v>
      </c>
      <c r="C13" s="6" t="s">
        <v>103</v>
      </c>
      <c r="D13" s="5" t="s">
        <v>104</v>
      </c>
      <c r="E13" s="6" t="s">
        <v>115</v>
      </c>
      <c r="F13" s="6" t="s">
        <v>116</v>
      </c>
      <c r="G13" s="6" t="s">
        <v>117</v>
      </c>
      <c r="H13" s="6" t="s">
        <v>118</v>
      </c>
      <c r="I13" s="5" t="s">
        <v>26</v>
      </c>
      <c r="J13" s="5" t="s">
        <v>119</v>
      </c>
      <c r="K13" s="6" t="s">
        <v>120</v>
      </c>
      <c r="L13" s="6" t="s">
        <v>121</v>
      </c>
      <c r="M13" s="6" t="s">
        <v>122</v>
      </c>
      <c r="N13" s="5" t="s">
        <v>123</v>
      </c>
      <c r="O13" s="5" t="s">
        <v>32</v>
      </c>
      <c r="P13" s="6" t="s">
        <v>113</v>
      </c>
      <c r="Q13" s="6"/>
    </row>
    <row r="14" spans="1:17" ht="64" customHeight="1">
      <c r="A14" s="4" t="b">
        <v>0</v>
      </c>
      <c r="B14" s="5" t="s">
        <v>124</v>
      </c>
      <c r="C14" s="6" t="s">
        <v>103</v>
      </c>
      <c r="D14" s="5" t="s">
        <v>104</v>
      </c>
      <c r="E14" s="6" t="s">
        <v>125</v>
      </c>
      <c r="F14" s="6" t="s">
        <v>126</v>
      </c>
      <c r="G14" s="6" t="s">
        <v>127</v>
      </c>
      <c r="H14" s="6" t="s">
        <v>128</v>
      </c>
      <c r="I14" s="5" t="s">
        <v>26</v>
      </c>
      <c r="J14" s="5" t="s">
        <v>27</v>
      </c>
      <c r="K14" s="6" t="s">
        <v>129</v>
      </c>
      <c r="L14" s="6" t="s">
        <v>130</v>
      </c>
      <c r="M14" s="6" t="s">
        <v>131</v>
      </c>
      <c r="N14" s="5" t="s">
        <v>112</v>
      </c>
      <c r="O14" s="5" t="s">
        <v>44</v>
      </c>
      <c r="P14" s="6" t="s">
        <v>113</v>
      </c>
      <c r="Q14" s="6"/>
    </row>
    <row r="15" spans="1:17" ht="64" customHeight="1">
      <c r="A15" s="4" t="b">
        <v>1</v>
      </c>
      <c r="B15" s="5" t="s">
        <v>132</v>
      </c>
      <c r="C15" s="6" t="s">
        <v>103</v>
      </c>
      <c r="D15" s="5" t="s">
        <v>133</v>
      </c>
      <c r="E15" s="6" t="s">
        <v>134</v>
      </c>
      <c r="F15" s="6" t="s">
        <v>135</v>
      </c>
      <c r="G15" s="6" t="s">
        <v>136</v>
      </c>
      <c r="H15" s="6" t="s">
        <v>137</v>
      </c>
      <c r="I15" s="5" t="s">
        <v>26</v>
      </c>
      <c r="J15" s="5" t="s">
        <v>96</v>
      </c>
      <c r="K15" s="6" t="s">
        <v>138</v>
      </c>
      <c r="L15" s="6" t="s">
        <v>139</v>
      </c>
      <c r="M15" s="6" t="s">
        <v>140</v>
      </c>
      <c r="N15" s="5" t="s">
        <v>43</v>
      </c>
      <c r="O15" s="5" t="s">
        <v>32</v>
      </c>
      <c r="P15" s="6" t="s">
        <v>141</v>
      </c>
      <c r="Q15" s="6"/>
    </row>
    <row r="16" spans="1:17" ht="64" customHeight="1">
      <c r="A16" s="4" t="b">
        <v>1</v>
      </c>
      <c r="B16" s="5" t="s">
        <v>142</v>
      </c>
      <c r="C16" s="6" t="s">
        <v>103</v>
      </c>
      <c r="D16" s="5" t="s">
        <v>133</v>
      </c>
      <c r="E16" s="6" t="s">
        <v>143</v>
      </c>
      <c r="F16" s="6" t="s">
        <v>144</v>
      </c>
      <c r="G16" s="6" t="s">
        <v>145</v>
      </c>
      <c r="H16" s="6" t="s">
        <v>146</v>
      </c>
      <c r="I16" s="5" t="s">
        <v>26</v>
      </c>
      <c r="J16" s="5" t="s">
        <v>96</v>
      </c>
      <c r="K16" s="6" t="s">
        <v>147</v>
      </c>
      <c r="L16" s="6" t="s">
        <v>148</v>
      </c>
      <c r="M16" s="6" t="s">
        <v>149</v>
      </c>
      <c r="N16" s="5" t="s">
        <v>123</v>
      </c>
      <c r="O16" s="5" t="s">
        <v>32</v>
      </c>
      <c r="P16" s="6" t="s">
        <v>150</v>
      </c>
      <c r="Q16" s="6" t="s">
        <v>151</v>
      </c>
    </row>
    <row r="17" spans="1:17" ht="64" customHeight="1">
      <c r="A17" s="4" t="b">
        <v>0</v>
      </c>
      <c r="B17" s="5" t="s">
        <v>152</v>
      </c>
      <c r="C17" s="6" t="s">
        <v>103</v>
      </c>
      <c r="D17" s="5" t="s">
        <v>133</v>
      </c>
      <c r="E17" s="6" t="s">
        <v>153</v>
      </c>
      <c r="F17" s="6" t="s">
        <v>154</v>
      </c>
      <c r="G17" s="6" t="s">
        <v>155</v>
      </c>
      <c r="H17" s="6" t="s">
        <v>156</v>
      </c>
      <c r="I17" s="5" t="s">
        <v>26</v>
      </c>
      <c r="J17" s="5" t="s">
        <v>96</v>
      </c>
      <c r="K17" s="6" t="s">
        <v>51</v>
      </c>
      <c r="L17" s="6" t="s">
        <v>157</v>
      </c>
      <c r="M17" s="6" t="s">
        <v>158</v>
      </c>
      <c r="N17" s="5" t="s">
        <v>123</v>
      </c>
      <c r="O17" s="5" t="s">
        <v>32</v>
      </c>
      <c r="P17" s="6" t="s">
        <v>150</v>
      </c>
      <c r="Q17" s="6"/>
    </row>
    <row r="18" spans="1:17" ht="64" customHeight="1">
      <c r="A18" s="4" t="b">
        <v>0</v>
      </c>
      <c r="B18" s="5" t="s">
        <v>159</v>
      </c>
      <c r="C18" s="6" t="s">
        <v>103</v>
      </c>
      <c r="D18" s="5" t="s">
        <v>133</v>
      </c>
      <c r="E18" s="6" t="s">
        <v>160</v>
      </c>
      <c r="F18" s="6" t="s">
        <v>161</v>
      </c>
      <c r="G18" s="6" t="s">
        <v>162</v>
      </c>
      <c r="H18" s="6" t="s">
        <v>163</v>
      </c>
      <c r="I18" s="5" t="s">
        <v>164</v>
      </c>
      <c r="J18" s="5" t="s">
        <v>96</v>
      </c>
      <c r="K18" s="6" t="s">
        <v>165</v>
      </c>
      <c r="L18" s="6" t="s">
        <v>166</v>
      </c>
      <c r="M18" s="6" t="s">
        <v>149</v>
      </c>
      <c r="N18" s="5" t="s">
        <v>123</v>
      </c>
      <c r="O18" s="5" t="s">
        <v>32</v>
      </c>
      <c r="P18" s="6" t="s">
        <v>150</v>
      </c>
      <c r="Q18" s="6"/>
    </row>
    <row r="19" spans="1:17" ht="64" customHeight="1">
      <c r="A19" s="4" t="b">
        <v>0</v>
      </c>
      <c r="B19" s="5" t="s">
        <v>167</v>
      </c>
      <c r="C19" s="6" t="s">
        <v>103</v>
      </c>
      <c r="D19" s="5" t="s">
        <v>168</v>
      </c>
      <c r="E19" s="6" t="s">
        <v>169</v>
      </c>
      <c r="F19" s="6" t="s">
        <v>170</v>
      </c>
      <c r="G19" s="6" t="s">
        <v>171</v>
      </c>
      <c r="H19" s="6" t="s">
        <v>172</v>
      </c>
      <c r="I19" s="5" t="s">
        <v>26</v>
      </c>
      <c r="J19" s="5" t="s">
        <v>173</v>
      </c>
      <c r="K19" s="6" t="s">
        <v>174</v>
      </c>
      <c r="L19" s="6" t="s">
        <v>175</v>
      </c>
      <c r="M19" s="6" t="s">
        <v>176</v>
      </c>
      <c r="N19" s="5" t="s">
        <v>177</v>
      </c>
      <c r="O19" s="5" t="s">
        <v>88</v>
      </c>
      <c r="P19" s="6" t="s">
        <v>178</v>
      </c>
      <c r="Q19" s="6"/>
    </row>
    <row r="20" spans="1:17" ht="64" customHeight="1">
      <c r="A20" s="4" t="b">
        <v>0</v>
      </c>
      <c r="B20" s="5" t="s">
        <v>179</v>
      </c>
      <c r="C20" s="6" t="s">
        <v>103</v>
      </c>
      <c r="D20" s="5" t="s">
        <v>168</v>
      </c>
      <c r="E20" s="6" t="s">
        <v>180</v>
      </c>
      <c r="F20" s="6" t="s">
        <v>181</v>
      </c>
      <c r="G20" s="6" t="s">
        <v>182</v>
      </c>
      <c r="H20" s="6" t="s">
        <v>183</v>
      </c>
      <c r="I20" s="5" t="s">
        <v>26</v>
      </c>
      <c r="J20" s="5" t="s">
        <v>27</v>
      </c>
      <c r="K20" s="6" t="s">
        <v>184</v>
      </c>
      <c r="L20" s="6" t="s">
        <v>185</v>
      </c>
      <c r="M20" s="6" t="s">
        <v>186</v>
      </c>
      <c r="N20" s="5" t="s">
        <v>177</v>
      </c>
      <c r="O20" s="5" t="s">
        <v>32</v>
      </c>
      <c r="P20" s="6" t="s">
        <v>187</v>
      </c>
      <c r="Q20" s="6"/>
    </row>
    <row r="21" spans="1:17" ht="64" customHeight="1">
      <c r="A21" s="4" t="b">
        <v>0</v>
      </c>
      <c r="B21" s="5" t="s">
        <v>188</v>
      </c>
      <c r="C21" s="6" t="s">
        <v>103</v>
      </c>
      <c r="D21" s="5" t="s">
        <v>168</v>
      </c>
      <c r="E21" s="6" t="s">
        <v>189</v>
      </c>
      <c r="F21" s="6" t="s">
        <v>190</v>
      </c>
      <c r="G21" s="6" t="s">
        <v>191</v>
      </c>
      <c r="H21" s="6" t="s">
        <v>192</v>
      </c>
      <c r="I21" s="5" t="s">
        <v>26</v>
      </c>
      <c r="J21" s="5" t="s">
        <v>193</v>
      </c>
      <c r="K21" s="6" t="s">
        <v>194</v>
      </c>
      <c r="L21" s="6" t="s">
        <v>195</v>
      </c>
      <c r="M21" s="6" t="s">
        <v>196</v>
      </c>
      <c r="N21" s="5" t="s">
        <v>177</v>
      </c>
      <c r="O21" s="5" t="s">
        <v>88</v>
      </c>
      <c r="P21" s="6" t="s">
        <v>197</v>
      </c>
      <c r="Q21" s="6"/>
    </row>
    <row r="22" spans="1:17" ht="64" customHeight="1">
      <c r="A22" s="4" t="b">
        <v>1</v>
      </c>
      <c r="B22" s="5" t="s">
        <v>198</v>
      </c>
      <c r="C22" s="6" t="s">
        <v>103</v>
      </c>
      <c r="D22" s="5" t="s">
        <v>199</v>
      </c>
      <c r="E22" s="6" t="s">
        <v>200</v>
      </c>
      <c r="F22" s="6" t="s">
        <v>201</v>
      </c>
      <c r="G22" s="6" t="s">
        <v>202</v>
      </c>
      <c r="H22" s="6" t="s">
        <v>203</v>
      </c>
      <c r="I22" s="5" t="s">
        <v>26</v>
      </c>
      <c r="J22" s="5" t="s">
        <v>204</v>
      </c>
      <c r="K22" s="6" t="s">
        <v>179</v>
      </c>
      <c r="L22" s="6" t="s">
        <v>205</v>
      </c>
      <c r="M22" s="6" t="s">
        <v>206</v>
      </c>
      <c r="N22" s="5" t="s">
        <v>207</v>
      </c>
      <c r="O22" s="5" t="s">
        <v>32</v>
      </c>
      <c r="P22" s="6" t="s">
        <v>208</v>
      </c>
      <c r="Q22" s="6" t="s">
        <v>209</v>
      </c>
    </row>
    <row r="23" spans="1:17" ht="64" customHeight="1">
      <c r="A23" s="4" t="b">
        <v>0</v>
      </c>
      <c r="B23" s="5" t="s">
        <v>210</v>
      </c>
      <c r="C23" s="6" t="s">
        <v>103</v>
      </c>
      <c r="D23" s="5" t="s">
        <v>199</v>
      </c>
      <c r="E23" s="6" t="s">
        <v>211</v>
      </c>
      <c r="F23" s="6" t="s">
        <v>212</v>
      </c>
      <c r="G23" s="6" t="s">
        <v>213</v>
      </c>
      <c r="H23" s="6" t="s">
        <v>214</v>
      </c>
      <c r="I23" s="5" t="s">
        <v>26</v>
      </c>
      <c r="J23" s="5" t="s">
        <v>27</v>
      </c>
      <c r="K23" s="6" t="s">
        <v>215</v>
      </c>
      <c r="L23" s="6" t="s">
        <v>216</v>
      </c>
      <c r="M23" s="6" t="s">
        <v>217</v>
      </c>
      <c r="N23" s="5" t="s">
        <v>218</v>
      </c>
      <c r="O23" s="5" t="s">
        <v>32</v>
      </c>
      <c r="P23" s="6" t="s">
        <v>219</v>
      </c>
      <c r="Q23" s="6"/>
    </row>
    <row r="24" spans="1:17" ht="64" customHeight="1">
      <c r="A24" s="4" t="b">
        <v>0</v>
      </c>
      <c r="B24" s="5" t="s">
        <v>220</v>
      </c>
      <c r="C24" s="6" t="s">
        <v>103</v>
      </c>
      <c r="D24" s="5" t="s">
        <v>199</v>
      </c>
      <c r="E24" s="6" t="s">
        <v>221</v>
      </c>
      <c r="F24" s="6" t="s">
        <v>222</v>
      </c>
      <c r="G24" s="6" t="s">
        <v>223</v>
      </c>
      <c r="H24" s="6" t="s">
        <v>224</v>
      </c>
      <c r="I24" s="5" t="s">
        <v>26</v>
      </c>
      <c r="J24" s="5" t="s">
        <v>96</v>
      </c>
      <c r="K24" s="6" t="s">
        <v>225</v>
      </c>
      <c r="L24" s="6" t="s">
        <v>226</v>
      </c>
      <c r="M24" s="6" t="s">
        <v>227</v>
      </c>
      <c r="N24" s="5" t="s">
        <v>228</v>
      </c>
      <c r="O24" s="5" t="s">
        <v>32</v>
      </c>
      <c r="P24" s="6" t="s">
        <v>229</v>
      </c>
      <c r="Q24" s="6"/>
    </row>
    <row r="25" spans="1:17" ht="64" customHeight="1">
      <c r="A25" s="4" t="b">
        <v>0</v>
      </c>
      <c r="B25" s="5" t="s">
        <v>230</v>
      </c>
      <c r="C25" s="6" t="s">
        <v>103</v>
      </c>
      <c r="D25" s="5" t="s">
        <v>231</v>
      </c>
      <c r="E25" s="6" t="s">
        <v>232</v>
      </c>
      <c r="F25" s="6" t="s">
        <v>233</v>
      </c>
      <c r="G25" s="6" t="s">
        <v>234</v>
      </c>
      <c r="H25" s="6" t="s">
        <v>235</v>
      </c>
      <c r="I25" s="5" t="s">
        <v>26</v>
      </c>
      <c r="J25" s="5" t="s">
        <v>193</v>
      </c>
      <c r="K25" s="6" t="s">
        <v>236</v>
      </c>
      <c r="L25" s="6" t="s">
        <v>237</v>
      </c>
      <c r="M25" s="6" t="s">
        <v>238</v>
      </c>
      <c r="N25" s="5" t="s">
        <v>239</v>
      </c>
      <c r="O25" s="5" t="s">
        <v>240</v>
      </c>
      <c r="P25" s="6" t="s">
        <v>241</v>
      </c>
      <c r="Q25" s="6"/>
    </row>
    <row r="26" spans="1:17" ht="64" customHeight="1">
      <c r="A26" s="4" t="b">
        <v>0</v>
      </c>
      <c r="B26" s="5" t="s">
        <v>242</v>
      </c>
      <c r="C26" s="6" t="s">
        <v>103</v>
      </c>
      <c r="D26" s="5" t="s">
        <v>231</v>
      </c>
      <c r="E26" s="6" t="s">
        <v>243</v>
      </c>
      <c r="F26" s="6" t="s">
        <v>244</v>
      </c>
      <c r="G26" s="6" t="s">
        <v>245</v>
      </c>
      <c r="H26" s="6" t="s">
        <v>246</v>
      </c>
      <c r="I26" s="5" t="s">
        <v>26</v>
      </c>
      <c r="J26" s="5" t="s">
        <v>193</v>
      </c>
      <c r="K26" s="6" t="s">
        <v>247</v>
      </c>
      <c r="L26" s="6" t="s">
        <v>248</v>
      </c>
      <c r="M26" s="6" t="s">
        <v>249</v>
      </c>
      <c r="N26" s="5" t="s">
        <v>250</v>
      </c>
      <c r="O26" s="5" t="s">
        <v>88</v>
      </c>
      <c r="P26" s="6" t="s">
        <v>251</v>
      </c>
      <c r="Q26" s="6"/>
    </row>
    <row r="27" spans="1:17" ht="64" customHeight="1">
      <c r="A27" s="4" t="b">
        <v>0</v>
      </c>
      <c r="B27" s="5" t="s">
        <v>252</v>
      </c>
      <c r="C27" s="6" t="s">
        <v>103</v>
      </c>
      <c r="D27" s="5" t="s">
        <v>231</v>
      </c>
      <c r="E27" s="6" t="s">
        <v>253</v>
      </c>
      <c r="F27" s="6" t="s">
        <v>254</v>
      </c>
      <c r="G27" s="6" t="s">
        <v>255</v>
      </c>
      <c r="H27" s="6" t="s">
        <v>256</v>
      </c>
      <c r="I27" s="5" t="s">
        <v>26</v>
      </c>
      <c r="J27" s="5" t="s">
        <v>193</v>
      </c>
      <c r="K27" s="6" t="s">
        <v>257</v>
      </c>
      <c r="L27" s="6" t="s">
        <v>258</v>
      </c>
      <c r="M27" s="6" t="s">
        <v>259</v>
      </c>
      <c r="N27" s="5" t="s">
        <v>260</v>
      </c>
      <c r="O27" s="5" t="s">
        <v>88</v>
      </c>
      <c r="P27" s="6" t="s">
        <v>241</v>
      </c>
      <c r="Q27" s="6"/>
    </row>
    <row r="28" spans="1:17" ht="64" customHeight="1">
      <c r="A28" s="4" t="b">
        <v>0</v>
      </c>
      <c r="B28" s="5" t="s">
        <v>261</v>
      </c>
      <c r="C28" s="6" t="s">
        <v>103</v>
      </c>
      <c r="D28" s="5" t="s">
        <v>262</v>
      </c>
      <c r="E28" s="6" t="s">
        <v>263</v>
      </c>
      <c r="F28" s="6" t="s">
        <v>264</v>
      </c>
      <c r="G28" s="6" t="s">
        <v>265</v>
      </c>
      <c r="H28" s="6" t="s">
        <v>266</v>
      </c>
      <c r="I28" s="5" t="s">
        <v>26</v>
      </c>
      <c r="J28" s="5" t="s">
        <v>193</v>
      </c>
      <c r="K28" s="6" t="s">
        <v>267</v>
      </c>
      <c r="L28" s="6" t="s">
        <v>268</v>
      </c>
      <c r="M28" s="6" t="s">
        <v>269</v>
      </c>
      <c r="N28" s="5" t="s">
        <v>270</v>
      </c>
      <c r="O28" s="5" t="s">
        <v>240</v>
      </c>
      <c r="P28" s="6" t="s">
        <v>271</v>
      </c>
      <c r="Q28" s="6"/>
    </row>
    <row r="29" spans="1:17" ht="64" customHeight="1">
      <c r="A29" s="4" t="b">
        <v>0</v>
      </c>
      <c r="B29" s="5" t="s">
        <v>272</v>
      </c>
      <c r="C29" s="6" t="s">
        <v>103</v>
      </c>
      <c r="D29" s="5" t="s">
        <v>262</v>
      </c>
      <c r="E29" s="6" t="s">
        <v>273</v>
      </c>
      <c r="F29" s="6" t="s">
        <v>274</v>
      </c>
      <c r="G29" s="6" t="s">
        <v>275</v>
      </c>
      <c r="H29" s="6" t="s">
        <v>276</v>
      </c>
      <c r="I29" s="5" t="s">
        <v>26</v>
      </c>
      <c r="J29" s="5" t="s">
        <v>193</v>
      </c>
      <c r="K29" s="6" t="s">
        <v>261</v>
      </c>
      <c r="L29" s="6" t="s">
        <v>277</v>
      </c>
      <c r="M29" s="6" t="s">
        <v>269</v>
      </c>
      <c r="N29" s="5" t="s">
        <v>177</v>
      </c>
      <c r="O29" s="5" t="s">
        <v>88</v>
      </c>
      <c r="P29" s="6" t="s">
        <v>271</v>
      </c>
      <c r="Q29" s="6"/>
    </row>
    <row r="30" spans="1:17" ht="64" customHeight="1">
      <c r="A30" s="4" t="b">
        <v>0</v>
      </c>
      <c r="B30" s="5" t="s">
        <v>278</v>
      </c>
      <c r="C30" s="6" t="s">
        <v>103</v>
      </c>
      <c r="D30" s="5" t="s">
        <v>279</v>
      </c>
      <c r="E30" s="6" t="s">
        <v>280</v>
      </c>
      <c r="F30" s="6" t="s">
        <v>281</v>
      </c>
      <c r="G30" s="6" t="s">
        <v>282</v>
      </c>
      <c r="H30" s="6" t="s">
        <v>283</v>
      </c>
      <c r="I30" s="5" t="s">
        <v>26</v>
      </c>
      <c r="J30" s="5" t="s">
        <v>27</v>
      </c>
      <c r="K30" s="6" t="s">
        <v>284</v>
      </c>
      <c r="L30" s="6" t="s">
        <v>285</v>
      </c>
      <c r="M30" s="6" t="s">
        <v>286</v>
      </c>
      <c r="N30" s="5" t="s">
        <v>287</v>
      </c>
      <c r="O30" s="5" t="s">
        <v>88</v>
      </c>
      <c r="P30" s="6" t="s">
        <v>288</v>
      </c>
      <c r="Q30" s="6"/>
    </row>
    <row r="31" spans="1:17" ht="64" customHeight="1">
      <c r="A31" s="4" t="b">
        <v>0</v>
      </c>
      <c r="B31" s="5" t="s">
        <v>289</v>
      </c>
      <c r="C31" s="6" t="s">
        <v>103</v>
      </c>
      <c r="D31" s="5" t="s">
        <v>279</v>
      </c>
      <c r="E31" s="6" t="s">
        <v>290</v>
      </c>
      <c r="F31" s="6" t="s">
        <v>291</v>
      </c>
      <c r="G31" s="6" t="s">
        <v>275</v>
      </c>
      <c r="H31" s="6" t="s">
        <v>292</v>
      </c>
      <c r="I31" s="5" t="s">
        <v>26</v>
      </c>
      <c r="J31" s="5" t="s">
        <v>119</v>
      </c>
      <c r="K31" s="6" t="s">
        <v>293</v>
      </c>
      <c r="L31" s="6" t="s">
        <v>294</v>
      </c>
      <c r="M31" s="6" t="s">
        <v>269</v>
      </c>
      <c r="N31" s="5" t="s">
        <v>287</v>
      </c>
      <c r="O31" s="5" t="s">
        <v>88</v>
      </c>
      <c r="P31" s="6" t="s">
        <v>288</v>
      </c>
      <c r="Q31" s="6"/>
    </row>
    <row r="32" spans="1:17" ht="64" customHeight="1">
      <c r="A32" s="4" t="b">
        <v>0</v>
      </c>
      <c r="B32" s="5" t="s">
        <v>295</v>
      </c>
      <c r="C32" s="6" t="s">
        <v>103</v>
      </c>
      <c r="D32" s="5" t="s">
        <v>279</v>
      </c>
      <c r="E32" s="6" t="s">
        <v>296</v>
      </c>
      <c r="F32" s="6" t="s">
        <v>297</v>
      </c>
      <c r="G32" s="6" t="s">
        <v>275</v>
      </c>
      <c r="H32" s="6" t="s">
        <v>298</v>
      </c>
      <c r="I32" s="5" t="s">
        <v>26</v>
      </c>
      <c r="J32" s="5" t="s">
        <v>27</v>
      </c>
      <c r="K32" s="6" t="s">
        <v>299</v>
      </c>
      <c r="L32" s="6" t="s">
        <v>300</v>
      </c>
      <c r="M32" s="6" t="s">
        <v>269</v>
      </c>
      <c r="N32" s="5" t="s">
        <v>301</v>
      </c>
      <c r="O32" s="5" t="s">
        <v>32</v>
      </c>
      <c r="P32" s="6" t="s">
        <v>288</v>
      </c>
      <c r="Q32" s="6"/>
    </row>
    <row r="33" spans="1:17" ht="64" customHeight="1">
      <c r="A33" s="4" t="b">
        <v>0</v>
      </c>
      <c r="B33" s="5" t="s">
        <v>302</v>
      </c>
      <c r="C33" s="6" t="s">
        <v>103</v>
      </c>
      <c r="D33" s="5" t="s">
        <v>279</v>
      </c>
      <c r="E33" s="6" t="s">
        <v>303</v>
      </c>
      <c r="F33" s="6" t="s">
        <v>304</v>
      </c>
      <c r="G33" s="6" t="s">
        <v>305</v>
      </c>
      <c r="H33" s="6" t="s">
        <v>306</v>
      </c>
      <c r="I33" s="5" t="s">
        <v>26</v>
      </c>
      <c r="J33" s="5" t="s">
        <v>307</v>
      </c>
      <c r="K33" s="6" t="s">
        <v>308</v>
      </c>
      <c r="L33" s="6" t="s">
        <v>309</v>
      </c>
      <c r="M33" s="6" t="s">
        <v>310</v>
      </c>
      <c r="N33" s="5" t="s">
        <v>311</v>
      </c>
      <c r="O33" s="5" t="s">
        <v>240</v>
      </c>
      <c r="P33" s="6" t="s">
        <v>312</v>
      </c>
      <c r="Q33" s="6"/>
    </row>
    <row r="34" spans="1:17" ht="64" customHeight="1">
      <c r="A34" s="4" t="b">
        <v>0</v>
      </c>
      <c r="B34" s="5" t="s">
        <v>313</v>
      </c>
      <c r="C34" s="6" t="s">
        <v>103</v>
      </c>
      <c r="D34" s="5" t="s">
        <v>314</v>
      </c>
      <c r="E34" s="6" t="s">
        <v>315</v>
      </c>
      <c r="F34" s="6" t="s">
        <v>316</v>
      </c>
      <c r="G34" s="6" t="s">
        <v>317</v>
      </c>
      <c r="H34" s="6" t="s">
        <v>318</v>
      </c>
      <c r="I34" s="5" t="s">
        <v>26</v>
      </c>
      <c r="J34" s="5" t="s">
        <v>27</v>
      </c>
      <c r="K34" s="6" t="s">
        <v>319</v>
      </c>
      <c r="L34" s="6" t="s">
        <v>320</v>
      </c>
      <c r="M34" s="6" t="s">
        <v>321</v>
      </c>
      <c r="N34" s="5" t="s">
        <v>322</v>
      </c>
      <c r="O34" s="5" t="s">
        <v>88</v>
      </c>
      <c r="P34" s="6" t="s">
        <v>323</v>
      </c>
      <c r="Q34" s="6"/>
    </row>
    <row r="35" spans="1:17" ht="64" customHeight="1">
      <c r="A35" s="4" t="b">
        <v>0</v>
      </c>
      <c r="B35" s="5" t="s">
        <v>324</v>
      </c>
      <c r="C35" s="6" t="s">
        <v>103</v>
      </c>
      <c r="D35" s="5" t="s">
        <v>314</v>
      </c>
      <c r="E35" s="6" t="s">
        <v>325</v>
      </c>
      <c r="F35" s="6" t="s">
        <v>326</v>
      </c>
      <c r="G35" s="6" t="s">
        <v>275</v>
      </c>
      <c r="H35" s="6" t="s">
        <v>327</v>
      </c>
      <c r="I35" s="5" t="s">
        <v>26</v>
      </c>
      <c r="J35" s="5" t="s">
        <v>27</v>
      </c>
      <c r="K35" s="6" t="s">
        <v>328</v>
      </c>
      <c r="L35" s="6" t="s">
        <v>329</v>
      </c>
      <c r="M35" s="6" t="s">
        <v>269</v>
      </c>
      <c r="N35" s="5" t="s">
        <v>330</v>
      </c>
      <c r="O35" s="5" t="s">
        <v>240</v>
      </c>
      <c r="P35" s="6" t="s">
        <v>323</v>
      </c>
      <c r="Q35" s="6"/>
    </row>
    <row r="36" spans="1:17" ht="64" customHeight="1">
      <c r="A36" s="4" t="b">
        <v>0</v>
      </c>
      <c r="B36" s="5" t="s">
        <v>331</v>
      </c>
      <c r="C36" s="6" t="s">
        <v>103</v>
      </c>
      <c r="D36" s="5" t="s">
        <v>314</v>
      </c>
      <c r="E36" s="6" t="s">
        <v>332</v>
      </c>
      <c r="F36" s="6" t="s">
        <v>333</v>
      </c>
      <c r="G36" s="6" t="s">
        <v>275</v>
      </c>
      <c r="H36" s="6" t="s">
        <v>334</v>
      </c>
      <c r="I36" s="5" t="s">
        <v>164</v>
      </c>
      <c r="J36" s="5" t="s">
        <v>335</v>
      </c>
      <c r="K36" s="6" t="s">
        <v>336</v>
      </c>
      <c r="L36" s="6" t="s">
        <v>337</v>
      </c>
      <c r="M36" s="6" t="s">
        <v>269</v>
      </c>
      <c r="N36" s="5" t="s">
        <v>330</v>
      </c>
      <c r="O36" s="5" t="s">
        <v>88</v>
      </c>
      <c r="P36" s="6" t="s">
        <v>338</v>
      </c>
      <c r="Q36" s="6"/>
    </row>
    <row r="37" spans="1:17" ht="64" customHeight="1">
      <c r="A37" s="4" t="b">
        <v>1</v>
      </c>
      <c r="B37" s="5" t="s">
        <v>339</v>
      </c>
      <c r="C37" s="6" t="s">
        <v>340</v>
      </c>
      <c r="D37" s="5" t="s">
        <v>341</v>
      </c>
      <c r="E37" s="6" t="s">
        <v>342</v>
      </c>
      <c r="F37" s="6" t="s">
        <v>343</v>
      </c>
      <c r="G37" s="6" t="s">
        <v>344</v>
      </c>
      <c r="H37" s="6" t="s">
        <v>345</v>
      </c>
      <c r="I37" s="5" t="s">
        <v>26</v>
      </c>
      <c r="J37" s="5" t="s">
        <v>346</v>
      </c>
      <c r="K37" s="6" t="s">
        <v>347</v>
      </c>
      <c r="L37" s="6" t="s">
        <v>348</v>
      </c>
      <c r="M37" s="6" t="s">
        <v>349</v>
      </c>
      <c r="N37" s="5" t="s">
        <v>350</v>
      </c>
      <c r="O37" s="5" t="s">
        <v>32</v>
      </c>
      <c r="P37" s="6" t="s">
        <v>351</v>
      </c>
      <c r="Q37" s="6"/>
    </row>
    <row r="38" spans="1:17" ht="64" customHeight="1">
      <c r="A38" s="4" t="b">
        <v>0</v>
      </c>
      <c r="B38" s="5" t="s">
        <v>352</v>
      </c>
      <c r="C38" s="6" t="s">
        <v>340</v>
      </c>
      <c r="D38" s="5" t="s">
        <v>341</v>
      </c>
      <c r="E38" s="6" t="s">
        <v>353</v>
      </c>
      <c r="F38" s="6" t="s">
        <v>354</v>
      </c>
      <c r="G38" s="6" t="s">
        <v>355</v>
      </c>
      <c r="H38" s="6" t="s">
        <v>356</v>
      </c>
      <c r="I38" s="5" t="s">
        <v>26</v>
      </c>
      <c r="J38" s="5" t="s">
        <v>346</v>
      </c>
      <c r="K38" s="6" t="s">
        <v>357</v>
      </c>
      <c r="L38" s="6" t="s">
        <v>358</v>
      </c>
      <c r="M38" s="6" t="s">
        <v>359</v>
      </c>
      <c r="N38" s="5" t="s">
        <v>350</v>
      </c>
      <c r="O38" s="5" t="s">
        <v>88</v>
      </c>
      <c r="P38" s="6" t="s">
        <v>351</v>
      </c>
      <c r="Q38" s="6"/>
    </row>
    <row r="39" spans="1:17" ht="64" customHeight="1">
      <c r="A39" s="4" t="b">
        <v>0</v>
      </c>
      <c r="B39" s="5" t="s">
        <v>360</v>
      </c>
      <c r="C39" s="6" t="s">
        <v>340</v>
      </c>
      <c r="D39" s="5" t="s">
        <v>341</v>
      </c>
      <c r="E39" s="6" t="s">
        <v>361</v>
      </c>
      <c r="F39" s="6" t="s">
        <v>362</v>
      </c>
      <c r="G39" s="6" t="s">
        <v>363</v>
      </c>
      <c r="H39" s="6" t="s">
        <v>364</v>
      </c>
      <c r="I39" s="5" t="s">
        <v>26</v>
      </c>
      <c r="J39" s="5" t="s">
        <v>346</v>
      </c>
      <c r="K39" s="6" t="s">
        <v>365</v>
      </c>
      <c r="L39" s="6" t="s">
        <v>366</v>
      </c>
      <c r="M39" s="6" t="s">
        <v>367</v>
      </c>
      <c r="N39" s="5" t="s">
        <v>368</v>
      </c>
      <c r="O39" s="5" t="s">
        <v>32</v>
      </c>
      <c r="P39" s="6" t="s">
        <v>351</v>
      </c>
      <c r="Q39" s="6"/>
    </row>
    <row r="40" spans="1:17" ht="64" customHeight="1">
      <c r="A40" s="4" t="b">
        <v>0</v>
      </c>
      <c r="B40" s="5" t="s">
        <v>369</v>
      </c>
      <c r="C40" s="6" t="s">
        <v>340</v>
      </c>
      <c r="D40" s="5" t="s">
        <v>341</v>
      </c>
      <c r="E40" s="6" t="s">
        <v>370</v>
      </c>
      <c r="F40" s="6" t="s">
        <v>371</v>
      </c>
      <c r="G40" s="6" t="s">
        <v>372</v>
      </c>
      <c r="H40" s="6" t="s">
        <v>373</v>
      </c>
      <c r="I40" s="5" t="s">
        <v>164</v>
      </c>
      <c r="J40" s="5" t="s">
        <v>374</v>
      </c>
      <c r="K40" s="6" t="s">
        <v>375</v>
      </c>
      <c r="L40" s="6" t="s">
        <v>376</v>
      </c>
      <c r="M40" s="6" t="s">
        <v>269</v>
      </c>
      <c r="N40" s="5" t="s">
        <v>377</v>
      </c>
      <c r="O40" s="5" t="s">
        <v>88</v>
      </c>
      <c r="P40" s="6" t="s">
        <v>378</v>
      </c>
      <c r="Q40" s="6"/>
    </row>
    <row r="41" spans="1:17" ht="64" customHeight="1">
      <c r="A41" s="4" t="b">
        <v>0</v>
      </c>
      <c r="B41" s="5" t="s">
        <v>379</v>
      </c>
      <c r="C41" s="6" t="s">
        <v>340</v>
      </c>
      <c r="D41" s="5" t="s">
        <v>341</v>
      </c>
      <c r="E41" s="6" t="s">
        <v>380</v>
      </c>
      <c r="F41" s="6" t="s">
        <v>381</v>
      </c>
      <c r="G41" s="6" t="s">
        <v>382</v>
      </c>
      <c r="H41" s="6" t="s">
        <v>383</v>
      </c>
      <c r="I41" s="5" t="s">
        <v>26</v>
      </c>
      <c r="J41" s="5" t="s">
        <v>346</v>
      </c>
      <c r="K41" s="6" t="s">
        <v>129</v>
      </c>
      <c r="L41" s="6" t="s">
        <v>384</v>
      </c>
      <c r="M41" s="6" t="s">
        <v>385</v>
      </c>
      <c r="N41" s="5" t="s">
        <v>386</v>
      </c>
      <c r="O41" s="5" t="s">
        <v>88</v>
      </c>
      <c r="P41" s="6" t="s">
        <v>387</v>
      </c>
      <c r="Q41" s="6"/>
    </row>
    <row r="42" spans="1:17" ht="64" customHeight="1">
      <c r="A42" s="4" t="b">
        <v>0</v>
      </c>
      <c r="B42" s="5" t="s">
        <v>388</v>
      </c>
      <c r="C42" s="6" t="s">
        <v>389</v>
      </c>
      <c r="D42" s="5" t="s">
        <v>390</v>
      </c>
      <c r="E42" s="6" t="s">
        <v>391</v>
      </c>
      <c r="F42" s="6" t="s">
        <v>392</v>
      </c>
      <c r="G42" s="6" t="s">
        <v>393</v>
      </c>
      <c r="H42" s="6" t="s">
        <v>394</v>
      </c>
      <c r="I42" s="5" t="s">
        <v>26</v>
      </c>
      <c r="J42" s="5" t="s">
        <v>346</v>
      </c>
      <c r="K42" s="6" t="s">
        <v>395</v>
      </c>
      <c r="L42" s="6" t="s">
        <v>396</v>
      </c>
      <c r="M42" s="6" t="s">
        <v>397</v>
      </c>
      <c r="N42" s="5" t="s">
        <v>398</v>
      </c>
      <c r="O42" s="5" t="s">
        <v>88</v>
      </c>
      <c r="P42" s="6" t="s">
        <v>399</v>
      </c>
      <c r="Q42" s="6"/>
    </row>
    <row r="43" spans="1:17" ht="64" customHeight="1">
      <c r="A43" s="4" t="b">
        <v>0</v>
      </c>
      <c r="B43" s="5" t="s">
        <v>400</v>
      </c>
      <c r="C43" s="6" t="s">
        <v>389</v>
      </c>
      <c r="D43" s="5" t="s">
        <v>390</v>
      </c>
      <c r="E43" s="6" t="s">
        <v>401</v>
      </c>
      <c r="F43" s="6" t="s">
        <v>402</v>
      </c>
      <c r="G43" s="6" t="s">
        <v>403</v>
      </c>
      <c r="H43" s="6" t="s">
        <v>404</v>
      </c>
      <c r="I43" s="5" t="s">
        <v>26</v>
      </c>
      <c r="J43" s="5" t="s">
        <v>346</v>
      </c>
      <c r="K43" s="6" t="s">
        <v>405</v>
      </c>
      <c r="L43" s="6" t="s">
        <v>406</v>
      </c>
      <c r="M43" s="6" t="s">
        <v>359</v>
      </c>
      <c r="N43" s="5" t="s">
        <v>407</v>
      </c>
      <c r="O43" s="5" t="s">
        <v>240</v>
      </c>
      <c r="P43" s="6" t="s">
        <v>399</v>
      </c>
      <c r="Q43" s="6"/>
    </row>
    <row r="44" spans="1:17" ht="64" customHeight="1">
      <c r="A44" s="4" t="b">
        <v>0</v>
      </c>
      <c r="B44" s="5" t="s">
        <v>408</v>
      </c>
      <c r="C44" s="6" t="s">
        <v>389</v>
      </c>
      <c r="D44" s="5" t="s">
        <v>390</v>
      </c>
      <c r="E44" s="6" t="s">
        <v>409</v>
      </c>
      <c r="F44" s="6" t="s">
        <v>410</v>
      </c>
      <c r="G44" s="6" t="s">
        <v>411</v>
      </c>
      <c r="H44" s="6" t="s">
        <v>412</v>
      </c>
      <c r="I44" s="5" t="s">
        <v>26</v>
      </c>
      <c r="J44" s="5" t="s">
        <v>413</v>
      </c>
      <c r="K44" s="6" t="s">
        <v>414</v>
      </c>
      <c r="L44" s="6" t="s">
        <v>415</v>
      </c>
      <c r="M44" s="6" t="s">
        <v>310</v>
      </c>
      <c r="N44" s="5" t="s">
        <v>416</v>
      </c>
      <c r="O44" s="5" t="s">
        <v>88</v>
      </c>
      <c r="P44" s="6" t="s">
        <v>417</v>
      </c>
      <c r="Q44" s="6"/>
    </row>
    <row r="45" spans="1:17" ht="64" customHeight="1">
      <c r="A45" s="4" t="b">
        <v>0</v>
      </c>
      <c r="B45" s="5" t="s">
        <v>418</v>
      </c>
      <c r="C45" s="6" t="s">
        <v>419</v>
      </c>
      <c r="D45" s="5" t="s">
        <v>420</v>
      </c>
      <c r="E45" s="6" t="s">
        <v>421</v>
      </c>
      <c r="F45" s="6" t="s">
        <v>422</v>
      </c>
      <c r="G45" s="6" t="s">
        <v>423</v>
      </c>
      <c r="H45" s="6" t="s">
        <v>424</v>
      </c>
      <c r="I45" s="5" t="s">
        <v>26</v>
      </c>
      <c r="J45" s="5" t="s">
        <v>425</v>
      </c>
      <c r="K45" s="6" t="s">
        <v>426</v>
      </c>
      <c r="L45" s="6" t="s">
        <v>427</v>
      </c>
      <c r="M45" s="6" t="s">
        <v>269</v>
      </c>
      <c r="N45" s="5" t="s">
        <v>428</v>
      </c>
      <c r="O45" s="5" t="s">
        <v>88</v>
      </c>
      <c r="P45" s="6" t="s">
        <v>429</v>
      </c>
      <c r="Q45" s="6"/>
    </row>
    <row r="46" spans="1:17" ht="64" customHeight="1">
      <c r="A46" s="4" t="b">
        <v>0</v>
      </c>
      <c r="B46" s="5" t="s">
        <v>430</v>
      </c>
      <c r="C46" s="6" t="s">
        <v>431</v>
      </c>
      <c r="D46" s="5" t="s">
        <v>432</v>
      </c>
      <c r="E46" s="6" t="s">
        <v>433</v>
      </c>
      <c r="F46" s="6" t="s">
        <v>434</v>
      </c>
      <c r="G46" s="6" t="s">
        <v>275</v>
      </c>
      <c r="H46" s="6" t="s">
        <v>435</v>
      </c>
      <c r="I46" s="5" t="s">
        <v>436</v>
      </c>
      <c r="J46" s="5" t="s">
        <v>437</v>
      </c>
      <c r="K46" s="6" t="s">
        <v>438</v>
      </c>
      <c r="L46" s="6" t="s">
        <v>439</v>
      </c>
      <c r="M46" s="6" t="s">
        <v>269</v>
      </c>
      <c r="N46" s="5" t="s">
        <v>440</v>
      </c>
      <c r="O46" s="5" t="s">
        <v>88</v>
      </c>
      <c r="P46" s="6" t="s">
        <v>441</v>
      </c>
      <c r="Q46" s="6"/>
    </row>
    <row r="47" spans="1:17" ht="64" customHeight="1">
      <c r="A47" s="4" t="b">
        <v>0</v>
      </c>
      <c r="B47" s="5" t="s">
        <v>442</v>
      </c>
      <c r="C47" s="6" t="s">
        <v>103</v>
      </c>
      <c r="D47" s="5" t="s">
        <v>443</v>
      </c>
      <c r="E47" s="6" t="s">
        <v>444</v>
      </c>
      <c r="F47" s="6" t="s">
        <v>445</v>
      </c>
      <c r="G47" s="6" t="s">
        <v>446</v>
      </c>
      <c r="H47" s="6" t="s">
        <v>447</v>
      </c>
      <c r="I47" s="5" t="s">
        <v>26</v>
      </c>
      <c r="J47" s="5" t="s">
        <v>119</v>
      </c>
      <c r="K47" s="6" t="s">
        <v>448</v>
      </c>
      <c r="L47" s="6" t="s">
        <v>449</v>
      </c>
      <c r="M47" s="6" t="s">
        <v>450</v>
      </c>
      <c r="N47" s="5" t="s">
        <v>451</v>
      </c>
      <c r="O47" s="5" t="s">
        <v>88</v>
      </c>
      <c r="P47" s="6" t="s">
        <v>452</v>
      </c>
      <c r="Q47" s="6"/>
    </row>
    <row r="48" spans="1:17" ht="64" customHeight="1">
      <c r="A48" s="4" t="b">
        <v>0</v>
      </c>
      <c r="B48" s="5" t="s">
        <v>453</v>
      </c>
      <c r="C48" s="6" t="s">
        <v>103</v>
      </c>
      <c r="D48" s="5" t="s">
        <v>443</v>
      </c>
      <c r="E48" s="6" t="s">
        <v>454</v>
      </c>
      <c r="F48" s="6" t="s">
        <v>455</v>
      </c>
      <c r="G48" s="6" t="s">
        <v>456</v>
      </c>
      <c r="H48" s="6" t="s">
        <v>457</v>
      </c>
      <c r="I48" s="5" t="s">
        <v>26</v>
      </c>
      <c r="J48" s="5" t="s">
        <v>119</v>
      </c>
      <c r="K48" s="6" t="s">
        <v>458</v>
      </c>
      <c r="L48" s="6" t="s">
        <v>459</v>
      </c>
      <c r="M48" s="6" t="s">
        <v>269</v>
      </c>
      <c r="N48" s="5" t="s">
        <v>460</v>
      </c>
      <c r="O48" s="5" t="s">
        <v>240</v>
      </c>
      <c r="P48" s="6" t="s">
        <v>452</v>
      </c>
      <c r="Q48" s="6"/>
    </row>
    <row r="49" spans="1:17" ht="64" customHeight="1">
      <c r="A49" s="4" t="b">
        <v>0</v>
      </c>
      <c r="B49" s="5" t="s">
        <v>461</v>
      </c>
      <c r="C49" s="6" t="s">
        <v>20</v>
      </c>
      <c r="D49" s="5" t="s">
        <v>462</v>
      </c>
      <c r="E49" s="6" t="s">
        <v>463</v>
      </c>
      <c r="F49" s="6" t="s">
        <v>464</v>
      </c>
      <c r="G49" s="6" t="s">
        <v>465</v>
      </c>
      <c r="H49" s="6" t="s">
        <v>466</v>
      </c>
      <c r="I49" s="5" t="s">
        <v>26</v>
      </c>
      <c r="J49" s="5" t="s">
        <v>96</v>
      </c>
      <c r="K49" s="6" t="s">
        <v>76</v>
      </c>
      <c r="L49" s="6" t="s">
        <v>467</v>
      </c>
      <c r="M49" s="6" t="s">
        <v>468</v>
      </c>
      <c r="N49" s="5" t="s">
        <v>469</v>
      </c>
      <c r="O49" s="5" t="s">
        <v>32</v>
      </c>
      <c r="P49" s="6" t="s">
        <v>470</v>
      </c>
      <c r="Q49" s="6"/>
    </row>
    <row r="50" spans="1:17" ht="64" customHeight="1">
      <c r="A50" s="4" t="b">
        <v>0</v>
      </c>
      <c r="B50" s="5" t="s">
        <v>471</v>
      </c>
      <c r="C50" s="6" t="s">
        <v>20</v>
      </c>
      <c r="D50" s="5" t="s">
        <v>462</v>
      </c>
      <c r="E50" s="6" t="s">
        <v>472</v>
      </c>
      <c r="F50" s="6" t="s">
        <v>473</v>
      </c>
      <c r="G50" s="6" t="s">
        <v>474</v>
      </c>
      <c r="H50" s="6" t="s">
        <v>475</v>
      </c>
      <c r="I50" s="5" t="s">
        <v>26</v>
      </c>
      <c r="J50" s="5" t="s">
        <v>96</v>
      </c>
      <c r="K50" s="6" t="s">
        <v>476</v>
      </c>
      <c r="L50" s="6" t="s">
        <v>477</v>
      </c>
      <c r="M50" s="6" t="s">
        <v>478</v>
      </c>
      <c r="N50" s="5" t="s">
        <v>479</v>
      </c>
      <c r="O50" s="5" t="s">
        <v>32</v>
      </c>
      <c r="P50" s="6" t="s">
        <v>470</v>
      </c>
      <c r="Q50" s="6"/>
    </row>
    <row r="51" spans="1:17" ht="64" customHeight="1">
      <c r="A51" s="4" t="b">
        <v>0</v>
      </c>
      <c r="B51" s="5" t="s">
        <v>480</v>
      </c>
      <c r="C51" s="6" t="s">
        <v>481</v>
      </c>
      <c r="D51" s="5" t="s">
        <v>482</v>
      </c>
      <c r="E51" s="6" t="s">
        <v>483</v>
      </c>
      <c r="F51" s="6" t="s">
        <v>484</v>
      </c>
      <c r="G51" s="6" t="s">
        <v>485</v>
      </c>
      <c r="H51" s="6" t="s">
        <v>486</v>
      </c>
      <c r="I51" s="5" t="s">
        <v>26</v>
      </c>
      <c r="J51" s="5" t="s">
        <v>487</v>
      </c>
      <c r="K51" s="6" t="s">
        <v>488</v>
      </c>
      <c r="L51" s="6" t="s">
        <v>489</v>
      </c>
      <c r="M51" s="6" t="s">
        <v>490</v>
      </c>
      <c r="N51" s="5" t="s">
        <v>491</v>
      </c>
      <c r="O51" s="5" t="s">
        <v>88</v>
      </c>
      <c r="P51" s="6" t="s">
        <v>492</v>
      </c>
      <c r="Q51" s="6"/>
    </row>
    <row r="52" spans="1:17" ht="64" customHeight="1">
      <c r="A52" s="4" t="b">
        <v>0</v>
      </c>
      <c r="B52" s="5" t="s">
        <v>493</v>
      </c>
      <c r="C52" s="6" t="s">
        <v>481</v>
      </c>
      <c r="D52" s="5" t="s">
        <v>482</v>
      </c>
      <c r="E52" s="6" t="s">
        <v>494</v>
      </c>
      <c r="F52" s="6" t="s">
        <v>495</v>
      </c>
      <c r="G52" s="6" t="s">
        <v>496</v>
      </c>
      <c r="H52" s="6" t="s">
        <v>497</v>
      </c>
      <c r="I52" s="5" t="s">
        <v>164</v>
      </c>
      <c r="J52" s="5" t="s">
        <v>335</v>
      </c>
      <c r="K52" s="6" t="s">
        <v>498</v>
      </c>
      <c r="L52" s="6" t="s">
        <v>499</v>
      </c>
      <c r="M52" s="6" t="s">
        <v>500</v>
      </c>
      <c r="N52" s="5" t="s">
        <v>491</v>
      </c>
      <c r="O52" s="5" t="s">
        <v>88</v>
      </c>
      <c r="P52" s="6" t="s">
        <v>492</v>
      </c>
      <c r="Q52" s="6"/>
    </row>
    <row r="53" spans="1:17" ht="64" customHeight="1">
      <c r="A53" s="4" t="b">
        <v>1</v>
      </c>
      <c r="B53" s="5" t="s">
        <v>501</v>
      </c>
      <c r="C53" s="6" t="s">
        <v>20</v>
      </c>
      <c r="D53" s="5" t="s">
        <v>502</v>
      </c>
      <c r="E53" s="6" t="s">
        <v>503</v>
      </c>
      <c r="F53" s="6" t="s">
        <v>504</v>
      </c>
      <c r="G53" s="6" t="s">
        <v>505</v>
      </c>
      <c r="H53" s="6" t="s">
        <v>506</v>
      </c>
      <c r="I53" s="5" t="s">
        <v>26</v>
      </c>
      <c r="J53" s="5" t="s">
        <v>96</v>
      </c>
      <c r="K53" s="6" t="s">
        <v>482</v>
      </c>
      <c r="L53" s="6" t="s">
        <v>507</v>
      </c>
      <c r="M53" s="6" t="s">
        <v>508</v>
      </c>
      <c r="N53" s="5" t="s">
        <v>509</v>
      </c>
      <c r="O53" s="5" t="s">
        <v>32</v>
      </c>
      <c r="P53" s="6" t="s">
        <v>510</v>
      </c>
      <c r="Q53" s="6"/>
    </row>
    <row r="54" spans="1:17" ht="64" customHeight="1">
      <c r="A54" s="4" t="b">
        <v>0</v>
      </c>
      <c r="B54" s="5" t="s">
        <v>511</v>
      </c>
      <c r="C54" s="6" t="s">
        <v>481</v>
      </c>
      <c r="D54" s="5" t="s">
        <v>502</v>
      </c>
      <c r="E54" s="6" t="s">
        <v>512</v>
      </c>
      <c r="F54" s="6" t="s">
        <v>513</v>
      </c>
      <c r="G54" s="6" t="s">
        <v>514</v>
      </c>
      <c r="H54" s="6" t="s">
        <v>515</v>
      </c>
      <c r="I54" s="5" t="s">
        <v>26</v>
      </c>
      <c r="J54" s="5" t="s">
        <v>335</v>
      </c>
      <c r="K54" s="6" t="s">
        <v>516</v>
      </c>
      <c r="L54" s="6" t="s">
        <v>517</v>
      </c>
      <c r="M54" s="6" t="s">
        <v>518</v>
      </c>
      <c r="N54" s="5" t="s">
        <v>43</v>
      </c>
      <c r="O54" s="5" t="s">
        <v>88</v>
      </c>
      <c r="P54" s="6" t="s">
        <v>510</v>
      </c>
      <c r="Q54" s="6"/>
    </row>
    <row r="55" spans="1:17" ht="64" customHeight="1">
      <c r="A55" s="4" t="b">
        <v>0</v>
      </c>
      <c r="B55" s="5" t="s">
        <v>519</v>
      </c>
      <c r="C55" s="6" t="s">
        <v>20</v>
      </c>
      <c r="D55" s="5" t="s">
        <v>520</v>
      </c>
      <c r="E55" s="6" t="s">
        <v>521</v>
      </c>
      <c r="F55" s="6" t="s">
        <v>522</v>
      </c>
      <c r="G55" s="6" t="s">
        <v>523</v>
      </c>
      <c r="H55" s="6" t="s">
        <v>524</v>
      </c>
      <c r="I55" s="5" t="s">
        <v>26</v>
      </c>
      <c r="J55" s="5" t="s">
        <v>96</v>
      </c>
      <c r="K55" s="6" t="s">
        <v>525</v>
      </c>
      <c r="L55" s="6" t="s">
        <v>526</v>
      </c>
      <c r="M55" s="6" t="s">
        <v>527</v>
      </c>
      <c r="N55" s="5" t="s">
        <v>65</v>
      </c>
      <c r="O55" s="5" t="s">
        <v>88</v>
      </c>
      <c r="P55" s="6" t="s">
        <v>528</v>
      </c>
      <c r="Q55" s="6"/>
    </row>
    <row r="56" spans="1:17" ht="64" customHeight="1">
      <c r="A56" s="4" t="b">
        <v>0</v>
      </c>
      <c r="B56" s="5" t="s">
        <v>529</v>
      </c>
      <c r="C56" s="6" t="s">
        <v>20</v>
      </c>
      <c r="D56" s="5" t="s">
        <v>520</v>
      </c>
      <c r="E56" s="6" t="s">
        <v>530</v>
      </c>
      <c r="F56" s="6" t="s">
        <v>531</v>
      </c>
      <c r="G56" s="6" t="s">
        <v>532</v>
      </c>
      <c r="H56" s="6" t="s">
        <v>533</v>
      </c>
      <c r="I56" s="5" t="s">
        <v>26</v>
      </c>
      <c r="J56" s="5" t="s">
        <v>487</v>
      </c>
      <c r="K56" s="6" t="s">
        <v>534</v>
      </c>
      <c r="L56" s="6" t="s">
        <v>535</v>
      </c>
      <c r="M56" s="6" t="s">
        <v>536</v>
      </c>
      <c r="N56" s="5" t="s">
        <v>509</v>
      </c>
      <c r="O56" s="5" t="s">
        <v>88</v>
      </c>
      <c r="P56" s="6" t="s">
        <v>537</v>
      </c>
      <c r="Q56" s="6"/>
    </row>
    <row r="57" spans="1:17" ht="64" customHeight="1">
      <c r="A57" s="4" t="b">
        <v>1</v>
      </c>
      <c r="B57" s="5" t="s">
        <v>538</v>
      </c>
      <c r="C57" s="6" t="s">
        <v>20</v>
      </c>
      <c r="D57" s="5" t="s">
        <v>539</v>
      </c>
      <c r="E57" s="6" t="s">
        <v>540</v>
      </c>
      <c r="F57" s="6" t="s">
        <v>541</v>
      </c>
      <c r="G57" s="6" t="s">
        <v>542</v>
      </c>
      <c r="H57" s="6" t="s">
        <v>543</v>
      </c>
      <c r="I57" s="5" t="s">
        <v>26</v>
      </c>
      <c r="J57" s="5" t="s">
        <v>96</v>
      </c>
      <c r="K57" s="6" t="s">
        <v>544</v>
      </c>
      <c r="L57" s="6" t="s">
        <v>545</v>
      </c>
      <c r="M57" s="6" t="s">
        <v>546</v>
      </c>
      <c r="N57" s="5" t="s">
        <v>65</v>
      </c>
      <c r="O57" s="5" t="s">
        <v>32</v>
      </c>
      <c r="P57" s="6" t="s">
        <v>547</v>
      </c>
      <c r="Q57" s="6"/>
    </row>
    <row r="58" spans="1:17" ht="64" customHeight="1">
      <c r="A58" s="4" t="b">
        <v>0</v>
      </c>
      <c r="B58" s="5" t="s">
        <v>548</v>
      </c>
      <c r="C58" s="6" t="s">
        <v>20</v>
      </c>
      <c r="D58" s="5" t="s">
        <v>539</v>
      </c>
      <c r="E58" s="6" t="s">
        <v>549</v>
      </c>
      <c r="F58" s="6" t="s">
        <v>550</v>
      </c>
      <c r="G58" s="6" t="s">
        <v>551</v>
      </c>
      <c r="H58" s="6" t="s">
        <v>552</v>
      </c>
      <c r="I58" s="5" t="s">
        <v>26</v>
      </c>
      <c r="J58" s="5" t="s">
        <v>96</v>
      </c>
      <c r="K58" s="6" t="s">
        <v>553</v>
      </c>
      <c r="L58" s="6" t="s">
        <v>554</v>
      </c>
      <c r="M58" s="6" t="s">
        <v>555</v>
      </c>
      <c r="N58" s="5" t="s">
        <v>65</v>
      </c>
      <c r="O58" s="5" t="s">
        <v>88</v>
      </c>
      <c r="P58" s="6" t="s">
        <v>547</v>
      </c>
      <c r="Q58" s="6"/>
    </row>
    <row r="59" spans="1:17" ht="64" customHeight="1">
      <c r="A59" s="4" t="b">
        <v>0</v>
      </c>
      <c r="B59" s="5" t="s">
        <v>556</v>
      </c>
      <c r="C59" s="6" t="s">
        <v>481</v>
      </c>
      <c r="D59" s="5" t="s">
        <v>539</v>
      </c>
      <c r="E59" s="6" t="s">
        <v>557</v>
      </c>
      <c r="F59" s="6" t="s">
        <v>558</v>
      </c>
      <c r="G59" s="6" t="s">
        <v>559</v>
      </c>
      <c r="H59" s="6" t="s">
        <v>560</v>
      </c>
      <c r="I59" s="5" t="s">
        <v>26</v>
      </c>
      <c r="J59" s="5" t="s">
        <v>335</v>
      </c>
      <c r="K59" s="6" t="s">
        <v>129</v>
      </c>
      <c r="L59" s="6" t="s">
        <v>561</v>
      </c>
      <c r="M59" s="6" t="s">
        <v>562</v>
      </c>
      <c r="N59" s="5" t="s">
        <v>65</v>
      </c>
      <c r="O59" s="5" t="s">
        <v>32</v>
      </c>
      <c r="P59" s="6" t="s">
        <v>563</v>
      </c>
      <c r="Q59" s="6"/>
    </row>
    <row r="60" spans="1:17" ht="64" customHeight="1">
      <c r="A60" s="4" t="b">
        <v>0</v>
      </c>
      <c r="B60" s="5" t="s">
        <v>564</v>
      </c>
      <c r="C60" s="6" t="s">
        <v>481</v>
      </c>
      <c r="D60" s="5" t="s">
        <v>165</v>
      </c>
      <c r="E60" s="6" t="s">
        <v>565</v>
      </c>
      <c r="F60" s="6" t="s">
        <v>566</v>
      </c>
      <c r="G60" s="6" t="s">
        <v>567</v>
      </c>
      <c r="H60" s="6" t="s">
        <v>568</v>
      </c>
      <c r="I60" s="5" t="s">
        <v>26</v>
      </c>
      <c r="J60" s="5" t="s">
        <v>487</v>
      </c>
      <c r="K60" s="6" t="s">
        <v>569</v>
      </c>
      <c r="L60" s="6" t="s">
        <v>570</v>
      </c>
      <c r="M60" s="6" t="s">
        <v>571</v>
      </c>
      <c r="N60" s="5" t="s">
        <v>65</v>
      </c>
      <c r="O60" s="5" t="s">
        <v>32</v>
      </c>
      <c r="P60" s="6" t="s">
        <v>572</v>
      </c>
      <c r="Q60" s="6"/>
    </row>
    <row r="61" spans="1:17" ht="64" customHeight="1">
      <c r="A61" s="4" t="b">
        <v>0</v>
      </c>
      <c r="B61" s="5" t="s">
        <v>573</v>
      </c>
      <c r="C61" s="6" t="s">
        <v>481</v>
      </c>
      <c r="D61" s="5" t="s">
        <v>165</v>
      </c>
      <c r="E61" s="6" t="s">
        <v>574</v>
      </c>
      <c r="F61" s="6" t="s">
        <v>575</v>
      </c>
      <c r="G61" s="6" t="s">
        <v>576</v>
      </c>
      <c r="H61" s="6" t="s">
        <v>577</v>
      </c>
      <c r="I61" s="5" t="s">
        <v>26</v>
      </c>
      <c r="J61" s="5" t="s">
        <v>335</v>
      </c>
      <c r="K61" s="6" t="s">
        <v>129</v>
      </c>
      <c r="L61" s="6" t="s">
        <v>578</v>
      </c>
      <c r="M61" s="6" t="s">
        <v>579</v>
      </c>
      <c r="N61" s="5" t="s">
        <v>580</v>
      </c>
      <c r="O61" s="5" t="s">
        <v>88</v>
      </c>
      <c r="P61" s="6" t="s">
        <v>572</v>
      </c>
      <c r="Q61" s="6"/>
    </row>
    <row r="62" spans="1:17" ht="64" customHeight="1">
      <c r="A62" s="4" t="b">
        <v>1</v>
      </c>
      <c r="B62" s="5" t="s">
        <v>581</v>
      </c>
      <c r="C62" s="6" t="s">
        <v>340</v>
      </c>
      <c r="D62" s="5" t="s">
        <v>582</v>
      </c>
      <c r="E62" s="6" t="s">
        <v>583</v>
      </c>
      <c r="F62" s="6" t="s">
        <v>584</v>
      </c>
      <c r="G62" s="6" t="s">
        <v>585</v>
      </c>
      <c r="H62" s="6" t="s">
        <v>586</v>
      </c>
      <c r="I62" s="5" t="s">
        <v>26</v>
      </c>
      <c r="J62" s="5" t="s">
        <v>346</v>
      </c>
      <c r="K62" s="6" t="s">
        <v>587</v>
      </c>
      <c r="L62" s="6" t="s">
        <v>588</v>
      </c>
      <c r="M62" s="6" t="s">
        <v>589</v>
      </c>
      <c r="N62" s="5" t="s">
        <v>590</v>
      </c>
      <c r="O62" s="5" t="s">
        <v>88</v>
      </c>
      <c r="P62" s="6" t="s">
        <v>591</v>
      </c>
      <c r="Q62" s="6"/>
    </row>
    <row r="63" spans="1:17" ht="64" customHeight="1">
      <c r="A63" s="4" t="b">
        <v>0</v>
      </c>
      <c r="B63" s="5" t="s">
        <v>592</v>
      </c>
      <c r="C63" s="6" t="s">
        <v>340</v>
      </c>
      <c r="D63" s="5" t="s">
        <v>582</v>
      </c>
      <c r="E63" s="6" t="s">
        <v>593</v>
      </c>
      <c r="F63" s="6" t="s">
        <v>594</v>
      </c>
      <c r="G63" s="6" t="s">
        <v>595</v>
      </c>
      <c r="H63" s="6" t="s">
        <v>596</v>
      </c>
      <c r="I63" s="5" t="s">
        <v>26</v>
      </c>
      <c r="J63" s="5" t="s">
        <v>346</v>
      </c>
      <c r="K63" s="6" t="s">
        <v>597</v>
      </c>
      <c r="L63" s="6" t="s">
        <v>598</v>
      </c>
      <c r="M63" s="6" t="s">
        <v>599</v>
      </c>
      <c r="N63" s="5" t="s">
        <v>600</v>
      </c>
      <c r="O63" s="5" t="s">
        <v>88</v>
      </c>
      <c r="P63" s="6" t="s">
        <v>601</v>
      </c>
      <c r="Q63" s="6"/>
    </row>
    <row r="64" spans="1:17" ht="64" customHeight="1">
      <c r="A64" s="4" t="b">
        <v>0</v>
      </c>
      <c r="B64" s="5" t="s">
        <v>602</v>
      </c>
      <c r="C64" s="6" t="s">
        <v>603</v>
      </c>
      <c r="D64" s="5" t="s">
        <v>604</v>
      </c>
      <c r="E64" s="6" t="s">
        <v>605</v>
      </c>
      <c r="F64" s="6" t="s">
        <v>606</v>
      </c>
      <c r="G64" s="6" t="s">
        <v>607</v>
      </c>
      <c r="H64" s="6" t="s">
        <v>608</v>
      </c>
      <c r="I64" s="5" t="s">
        <v>26</v>
      </c>
      <c r="J64" s="5" t="s">
        <v>437</v>
      </c>
      <c r="K64" s="6" t="s">
        <v>609</v>
      </c>
      <c r="L64" s="6" t="s">
        <v>610</v>
      </c>
      <c r="M64" s="6" t="s">
        <v>321</v>
      </c>
      <c r="N64" s="5" t="s">
        <v>611</v>
      </c>
      <c r="O64" s="5" t="s">
        <v>240</v>
      </c>
      <c r="P64" s="6" t="s">
        <v>612</v>
      </c>
      <c r="Q64" s="6"/>
    </row>
    <row r="65" spans="1:17" ht="64" customHeight="1">
      <c r="A65" s="4" t="b">
        <v>0</v>
      </c>
      <c r="B65" s="5" t="s">
        <v>613</v>
      </c>
      <c r="C65" s="6" t="s">
        <v>603</v>
      </c>
      <c r="D65" s="5" t="s">
        <v>604</v>
      </c>
      <c r="E65" s="6" t="s">
        <v>614</v>
      </c>
      <c r="F65" s="6" t="s">
        <v>615</v>
      </c>
      <c r="G65" s="6" t="s">
        <v>275</v>
      </c>
      <c r="H65" s="6" t="s">
        <v>616</v>
      </c>
      <c r="I65" s="5" t="s">
        <v>26</v>
      </c>
      <c r="J65" s="5" t="s">
        <v>437</v>
      </c>
      <c r="K65" s="6" t="s">
        <v>617</v>
      </c>
      <c r="L65" s="6" t="s">
        <v>618</v>
      </c>
      <c r="M65" s="6" t="s">
        <v>269</v>
      </c>
      <c r="N65" s="5" t="s">
        <v>619</v>
      </c>
      <c r="O65" s="5" t="s">
        <v>88</v>
      </c>
      <c r="P65" s="6" t="s">
        <v>620</v>
      </c>
      <c r="Q65" s="6"/>
    </row>
    <row r="66" spans="1:17" ht="64" customHeight="1">
      <c r="A66" s="4" t="b">
        <v>0</v>
      </c>
      <c r="B66" s="5" t="s">
        <v>621</v>
      </c>
      <c r="C66" s="6" t="s">
        <v>431</v>
      </c>
      <c r="D66" s="5" t="s">
        <v>622</v>
      </c>
      <c r="E66" s="6" t="s">
        <v>623</v>
      </c>
      <c r="F66" s="6" t="s">
        <v>624</v>
      </c>
      <c r="G66" s="6" t="s">
        <v>625</v>
      </c>
      <c r="H66" s="6" t="s">
        <v>626</v>
      </c>
      <c r="I66" s="5" t="s">
        <v>436</v>
      </c>
      <c r="J66" s="5" t="s">
        <v>437</v>
      </c>
      <c r="K66" s="6" t="s">
        <v>627</v>
      </c>
      <c r="L66" s="6" t="s">
        <v>628</v>
      </c>
      <c r="M66" s="6" t="s">
        <v>321</v>
      </c>
      <c r="N66" s="5" t="s">
        <v>629</v>
      </c>
      <c r="O66" s="5" t="s">
        <v>240</v>
      </c>
      <c r="P66" s="6" t="s">
        <v>630</v>
      </c>
      <c r="Q66" s="6"/>
    </row>
    <row r="67" spans="1:17" ht="64" customHeight="1">
      <c r="A67" s="4" t="b">
        <v>0</v>
      </c>
      <c r="B67" s="5" t="s">
        <v>631</v>
      </c>
      <c r="C67" s="6" t="s">
        <v>431</v>
      </c>
      <c r="D67" s="5" t="s">
        <v>632</v>
      </c>
      <c r="E67" s="6" t="s">
        <v>633</v>
      </c>
      <c r="F67" s="6" t="s">
        <v>634</v>
      </c>
      <c r="G67" s="6" t="s">
        <v>275</v>
      </c>
      <c r="H67" s="6" t="s">
        <v>635</v>
      </c>
      <c r="I67" s="5" t="s">
        <v>436</v>
      </c>
      <c r="J67" s="5" t="s">
        <v>437</v>
      </c>
      <c r="K67" s="6" t="s">
        <v>636</v>
      </c>
      <c r="L67" s="6" t="s">
        <v>637</v>
      </c>
      <c r="M67" s="6" t="s">
        <v>321</v>
      </c>
      <c r="N67" s="5" t="s">
        <v>638</v>
      </c>
      <c r="O67" s="5" t="s">
        <v>240</v>
      </c>
      <c r="P67" s="6" t="s">
        <v>639</v>
      </c>
      <c r="Q67" s="6"/>
    </row>
    <row r="68" spans="1:17" ht="64" customHeight="1">
      <c r="A68" s="4" t="b">
        <v>1</v>
      </c>
      <c r="B68" s="5" t="s">
        <v>640</v>
      </c>
      <c r="C68" s="6" t="s">
        <v>419</v>
      </c>
      <c r="D68" s="5" t="s">
        <v>641</v>
      </c>
      <c r="E68" s="6" t="s">
        <v>642</v>
      </c>
      <c r="F68" s="6" t="s">
        <v>643</v>
      </c>
      <c r="G68" s="6" t="s">
        <v>644</v>
      </c>
      <c r="H68" s="6" t="s">
        <v>645</v>
      </c>
      <c r="I68" s="5" t="s">
        <v>26</v>
      </c>
      <c r="J68" s="5" t="s">
        <v>646</v>
      </c>
      <c r="K68" s="6" t="s">
        <v>231</v>
      </c>
      <c r="L68" s="6" t="s">
        <v>647</v>
      </c>
      <c r="M68" s="6" t="s">
        <v>648</v>
      </c>
      <c r="N68" s="5" t="s">
        <v>509</v>
      </c>
      <c r="O68" s="5" t="s">
        <v>32</v>
      </c>
      <c r="P68" s="6" t="s">
        <v>649</v>
      </c>
      <c r="Q68" s="6" t="s">
        <v>650</v>
      </c>
    </row>
    <row r="69" spans="1:17" ht="64" customHeight="1">
      <c r="A69" s="4" t="b">
        <v>0</v>
      </c>
      <c r="B69" s="5" t="s">
        <v>651</v>
      </c>
      <c r="C69" s="6" t="s">
        <v>419</v>
      </c>
      <c r="D69" s="5" t="s">
        <v>641</v>
      </c>
      <c r="E69" s="6" t="s">
        <v>652</v>
      </c>
      <c r="F69" s="6" t="s">
        <v>653</v>
      </c>
      <c r="G69" s="6" t="s">
        <v>654</v>
      </c>
      <c r="H69" s="6" t="s">
        <v>655</v>
      </c>
      <c r="I69" s="5" t="s">
        <v>26</v>
      </c>
      <c r="J69" s="5" t="s">
        <v>656</v>
      </c>
      <c r="K69" s="6" t="s">
        <v>657</v>
      </c>
      <c r="L69" s="6" t="s">
        <v>658</v>
      </c>
      <c r="M69" s="6" t="s">
        <v>659</v>
      </c>
      <c r="N69" s="5" t="s">
        <v>250</v>
      </c>
      <c r="O69" s="5" t="s">
        <v>240</v>
      </c>
      <c r="P69" s="6" t="s">
        <v>649</v>
      </c>
      <c r="Q69" s="6"/>
    </row>
    <row r="70" spans="1:17" ht="64" customHeight="1">
      <c r="A70" s="4" t="b">
        <v>0</v>
      </c>
      <c r="B70" s="5" t="s">
        <v>660</v>
      </c>
      <c r="C70" s="6" t="s">
        <v>481</v>
      </c>
      <c r="D70" s="5" t="s">
        <v>129</v>
      </c>
      <c r="E70" s="6" t="s">
        <v>661</v>
      </c>
      <c r="F70" s="6" t="s">
        <v>662</v>
      </c>
      <c r="G70" s="6" t="s">
        <v>663</v>
      </c>
      <c r="H70" s="6" t="s">
        <v>664</v>
      </c>
      <c r="I70" s="5" t="s">
        <v>26</v>
      </c>
      <c r="J70" s="5" t="s">
        <v>335</v>
      </c>
      <c r="K70" s="6" t="s">
        <v>665</v>
      </c>
      <c r="L70" s="6" t="s">
        <v>666</v>
      </c>
      <c r="M70" s="6" t="s">
        <v>667</v>
      </c>
      <c r="N70" s="5" t="s">
        <v>668</v>
      </c>
      <c r="O70" s="5" t="s">
        <v>88</v>
      </c>
      <c r="P70" s="6" t="s">
        <v>669</v>
      </c>
      <c r="Q70" s="6"/>
    </row>
    <row r="71" spans="1:17" ht="64" customHeight="1">
      <c r="A71" s="4" t="b">
        <v>0</v>
      </c>
      <c r="B71" s="5" t="s">
        <v>670</v>
      </c>
      <c r="C71" s="6" t="s">
        <v>481</v>
      </c>
      <c r="D71" s="5" t="s">
        <v>129</v>
      </c>
      <c r="E71" s="6" t="s">
        <v>671</v>
      </c>
      <c r="F71" s="6" t="s">
        <v>672</v>
      </c>
      <c r="G71" s="6" t="s">
        <v>275</v>
      </c>
      <c r="H71" s="6" t="s">
        <v>673</v>
      </c>
      <c r="I71" s="5" t="s">
        <v>26</v>
      </c>
      <c r="J71" s="5" t="s">
        <v>335</v>
      </c>
      <c r="K71" s="6" t="s">
        <v>674</v>
      </c>
      <c r="L71" s="6" t="s">
        <v>675</v>
      </c>
      <c r="M71" s="6" t="s">
        <v>269</v>
      </c>
      <c r="N71" s="5" t="s">
        <v>676</v>
      </c>
      <c r="O71" s="5" t="s">
        <v>88</v>
      </c>
      <c r="P71" s="6" t="s">
        <v>669</v>
      </c>
      <c r="Q71" s="6"/>
    </row>
    <row r="72" spans="1:17" ht="64" customHeight="1">
      <c r="A72" s="4" t="b">
        <v>0</v>
      </c>
      <c r="B72" s="5" t="s">
        <v>677</v>
      </c>
      <c r="C72" s="6" t="s">
        <v>481</v>
      </c>
      <c r="D72" s="5" t="s">
        <v>336</v>
      </c>
      <c r="E72" s="6" t="s">
        <v>678</v>
      </c>
      <c r="F72" s="6" t="s">
        <v>679</v>
      </c>
      <c r="G72" s="6" t="s">
        <v>680</v>
      </c>
      <c r="H72" s="6" t="s">
        <v>681</v>
      </c>
      <c r="I72" s="5" t="s">
        <v>164</v>
      </c>
      <c r="J72" s="5" t="s">
        <v>335</v>
      </c>
      <c r="K72" s="6" t="s">
        <v>682</v>
      </c>
      <c r="L72" s="6" t="s">
        <v>683</v>
      </c>
      <c r="M72" s="6" t="s">
        <v>321</v>
      </c>
      <c r="N72" s="5" t="s">
        <v>684</v>
      </c>
      <c r="O72" s="5" t="s">
        <v>240</v>
      </c>
      <c r="P72" s="6" t="s">
        <v>685</v>
      </c>
      <c r="Q72" s="6"/>
    </row>
    <row r="73" spans="1:17" ht="64" customHeight="1">
      <c r="A73" s="4" t="b">
        <v>1</v>
      </c>
      <c r="B73" s="5" t="s">
        <v>686</v>
      </c>
      <c r="C73" s="6" t="s">
        <v>419</v>
      </c>
      <c r="D73" s="5" t="s">
        <v>687</v>
      </c>
      <c r="E73" s="6" t="s">
        <v>688</v>
      </c>
      <c r="F73" s="6" t="s">
        <v>689</v>
      </c>
      <c r="G73" s="6" t="s">
        <v>690</v>
      </c>
      <c r="H73" s="6" t="s">
        <v>691</v>
      </c>
      <c r="I73" s="5" t="s">
        <v>26</v>
      </c>
      <c r="J73" s="5" t="s">
        <v>425</v>
      </c>
      <c r="K73" s="6" t="s">
        <v>692</v>
      </c>
      <c r="L73" s="6" t="s">
        <v>693</v>
      </c>
      <c r="M73" s="6" t="s">
        <v>694</v>
      </c>
      <c r="N73" s="5" t="s">
        <v>695</v>
      </c>
      <c r="O73" s="5" t="s">
        <v>32</v>
      </c>
      <c r="P73" s="6" t="s">
        <v>696</v>
      </c>
      <c r="Q73" s="6"/>
    </row>
    <row r="74" spans="1:17" ht="64" customHeight="1">
      <c r="A74" s="4" t="b">
        <v>0</v>
      </c>
      <c r="B74" s="5" t="s">
        <v>697</v>
      </c>
      <c r="C74" s="6" t="s">
        <v>419</v>
      </c>
      <c r="D74" s="5" t="s">
        <v>687</v>
      </c>
      <c r="E74" s="6" t="s">
        <v>698</v>
      </c>
      <c r="F74" s="6" t="s">
        <v>699</v>
      </c>
      <c r="G74" s="6" t="s">
        <v>700</v>
      </c>
      <c r="H74" s="6" t="s">
        <v>701</v>
      </c>
      <c r="I74" s="5" t="s">
        <v>26</v>
      </c>
      <c r="J74" s="5" t="s">
        <v>425</v>
      </c>
      <c r="K74" s="6" t="s">
        <v>702</v>
      </c>
      <c r="L74" s="6" t="s">
        <v>703</v>
      </c>
      <c r="M74" s="6" t="s">
        <v>704</v>
      </c>
      <c r="N74" s="5" t="s">
        <v>705</v>
      </c>
      <c r="O74" s="5" t="s">
        <v>88</v>
      </c>
      <c r="P74" s="6" t="s">
        <v>706</v>
      </c>
      <c r="Q74" s="6"/>
    </row>
    <row r="75" spans="1:17" ht="64" customHeight="1">
      <c r="A75" s="4" t="b">
        <v>1</v>
      </c>
      <c r="B75" s="5" t="s">
        <v>707</v>
      </c>
      <c r="C75" s="6" t="s">
        <v>419</v>
      </c>
      <c r="D75" s="5" t="s">
        <v>708</v>
      </c>
      <c r="E75" s="6" t="s">
        <v>709</v>
      </c>
      <c r="F75" s="6" t="s">
        <v>710</v>
      </c>
      <c r="G75" s="6" t="s">
        <v>711</v>
      </c>
      <c r="H75" s="6" t="s">
        <v>712</v>
      </c>
      <c r="I75" s="5" t="s">
        <v>26</v>
      </c>
      <c r="J75" s="5" t="s">
        <v>425</v>
      </c>
      <c r="K75" s="6" t="s">
        <v>713</v>
      </c>
      <c r="L75" s="6" t="s">
        <v>714</v>
      </c>
      <c r="M75" s="6" t="s">
        <v>715</v>
      </c>
      <c r="N75" s="5" t="s">
        <v>695</v>
      </c>
      <c r="O75" s="5" t="s">
        <v>32</v>
      </c>
      <c r="P75" s="6" t="s">
        <v>716</v>
      </c>
      <c r="Q75" s="6"/>
    </row>
    <row r="76" spans="1:17" ht="64" customHeight="1">
      <c r="A76" s="4" t="b">
        <v>0</v>
      </c>
      <c r="B76" s="5" t="s">
        <v>717</v>
      </c>
      <c r="C76" s="6" t="s">
        <v>419</v>
      </c>
      <c r="D76" s="5" t="s">
        <v>708</v>
      </c>
      <c r="E76" s="6" t="s">
        <v>718</v>
      </c>
      <c r="F76" s="6" t="s">
        <v>719</v>
      </c>
      <c r="G76" s="6" t="s">
        <v>720</v>
      </c>
      <c r="H76" s="6" t="s">
        <v>721</v>
      </c>
      <c r="I76" s="5" t="s">
        <v>26</v>
      </c>
      <c r="J76" s="5" t="s">
        <v>425</v>
      </c>
      <c r="K76" s="6" t="s">
        <v>722</v>
      </c>
      <c r="L76" s="6" t="s">
        <v>723</v>
      </c>
      <c r="M76" s="6" t="s">
        <v>724</v>
      </c>
      <c r="N76" s="5" t="s">
        <v>695</v>
      </c>
      <c r="O76" s="5" t="s">
        <v>88</v>
      </c>
      <c r="P76" s="6" t="s">
        <v>725</v>
      </c>
      <c r="Q76" s="6"/>
    </row>
    <row r="77" spans="1:17" ht="64" customHeight="1">
      <c r="A77" s="4" t="b">
        <v>0</v>
      </c>
      <c r="B77" s="5" t="s">
        <v>726</v>
      </c>
      <c r="C77" s="6" t="s">
        <v>419</v>
      </c>
      <c r="D77" s="5" t="s">
        <v>708</v>
      </c>
      <c r="E77" s="6" t="s">
        <v>727</v>
      </c>
      <c r="F77" s="6" t="s">
        <v>728</v>
      </c>
      <c r="G77" s="6" t="s">
        <v>275</v>
      </c>
      <c r="H77" s="6" t="s">
        <v>729</v>
      </c>
      <c r="I77" s="5" t="s">
        <v>164</v>
      </c>
      <c r="J77" s="5" t="s">
        <v>425</v>
      </c>
      <c r="K77" s="6" t="s">
        <v>369</v>
      </c>
      <c r="L77" s="6" t="s">
        <v>730</v>
      </c>
      <c r="M77" s="6" t="s">
        <v>269</v>
      </c>
      <c r="N77" s="5" t="s">
        <v>695</v>
      </c>
      <c r="O77" s="5" t="s">
        <v>88</v>
      </c>
      <c r="P77" s="6" t="s">
        <v>731</v>
      </c>
      <c r="Q77" s="6"/>
    </row>
    <row r="78" spans="1:17" ht="64" customHeight="1">
      <c r="A78" s="4" t="b">
        <v>1</v>
      </c>
      <c r="B78" s="5" t="s">
        <v>732</v>
      </c>
      <c r="C78" s="6" t="s">
        <v>419</v>
      </c>
      <c r="D78" s="5" t="s">
        <v>733</v>
      </c>
      <c r="E78" s="6" t="s">
        <v>734</v>
      </c>
      <c r="F78" s="6" t="s">
        <v>735</v>
      </c>
      <c r="G78" s="6" t="s">
        <v>736</v>
      </c>
      <c r="H78" s="6" t="s">
        <v>737</v>
      </c>
      <c r="I78" s="5" t="s">
        <v>26</v>
      </c>
      <c r="J78" s="5" t="s">
        <v>425</v>
      </c>
      <c r="K78" s="6" t="s">
        <v>738</v>
      </c>
      <c r="L78" s="6" t="s">
        <v>739</v>
      </c>
      <c r="M78" s="6" t="s">
        <v>740</v>
      </c>
      <c r="N78" s="5" t="s">
        <v>695</v>
      </c>
      <c r="O78" s="5" t="s">
        <v>32</v>
      </c>
      <c r="P78" s="6" t="s">
        <v>741</v>
      </c>
      <c r="Q78" s="6" t="s">
        <v>742</v>
      </c>
    </row>
    <row r="79" spans="1:17" ht="64" customHeight="1">
      <c r="A79" s="4" t="b">
        <v>0</v>
      </c>
      <c r="B79" s="5" t="s">
        <v>743</v>
      </c>
      <c r="C79" s="6" t="s">
        <v>603</v>
      </c>
      <c r="D79" s="5" t="s">
        <v>744</v>
      </c>
      <c r="E79" s="6" t="s">
        <v>745</v>
      </c>
      <c r="F79" s="6" t="s">
        <v>746</v>
      </c>
      <c r="G79" s="6" t="s">
        <v>747</v>
      </c>
      <c r="H79" s="6" t="s">
        <v>748</v>
      </c>
      <c r="I79" s="5" t="s">
        <v>26</v>
      </c>
      <c r="J79" s="5" t="s">
        <v>437</v>
      </c>
      <c r="K79" s="6" t="s">
        <v>749</v>
      </c>
      <c r="L79" s="6" t="s">
        <v>750</v>
      </c>
      <c r="M79" s="6" t="s">
        <v>310</v>
      </c>
      <c r="N79" s="5" t="s">
        <v>751</v>
      </c>
      <c r="O79" s="5" t="s">
        <v>240</v>
      </c>
      <c r="P79" s="6" t="s">
        <v>752</v>
      </c>
      <c r="Q79" s="6"/>
    </row>
    <row r="80" spans="1:17" ht="64" customHeight="1">
      <c r="A80" s="4" t="b">
        <v>0</v>
      </c>
      <c r="B80" s="5" t="s">
        <v>753</v>
      </c>
      <c r="C80" s="6" t="s">
        <v>431</v>
      </c>
      <c r="D80" s="5" t="s">
        <v>754</v>
      </c>
      <c r="E80" s="6" t="s">
        <v>755</v>
      </c>
      <c r="F80" s="6" t="s">
        <v>756</v>
      </c>
      <c r="G80" s="6" t="s">
        <v>275</v>
      </c>
      <c r="H80" s="6" t="s">
        <v>757</v>
      </c>
      <c r="I80" s="5" t="s">
        <v>436</v>
      </c>
      <c r="J80" s="5" t="s">
        <v>437</v>
      </c>
      <c r="K80" s="6" t="s">
        <v>758</v>
      </c>
      <c r="L80" s="6" t="s">
        <v>759</v>
      </c>
      <c r="M80" s="6" t="s">
        <v>269</v>
      </c>
      <c r="N80" s="5" t="s">
        <v>760</v>
      </c>
      <c r="O80" s="5" t="s">
        <v>88</v>
      </c>
      <c r="P80" s="6" t="s">
        <v>761</v>
      </c>
      <c r="Q80" s="6"/>
    </row>
    <row r="81" spans="1:17" ht="64" customHeight="1">
      <c r="A81" s="4" t="b">
        <v>0</v>
      </c>
      <c r="B81" s="5" t="s">
        <v>762</v>
      </c>
      <c r="C81" s="6" t="s">
        <v>481</v>
      </c>
      <c r="D81" s="5" t="s">
        <v>763</v>
      </c>
      <c r="E81" s="6" t="s">
        <v>764</v>
      </c>
      <c r="F81" s="6" t="s">
        <v>765</v>
      </c>
      <c r="G81" s="6" t="s">
        <v>766</v>
      </c>
      <c r="H81" s="6" t="s">
        <v>767</v>
      </c>
      <c r="I81" s="5" t="s">
        <v>164</v>
      </c>
      <c r="J81" s="5" t="s">
        <v>335</v>
      </c>
      <c r="K81" s="6" t="s">
        <v>768</v>
      </c>
      <c r="L81" s="6" t="s">
        <v>769</v>
      </c>
      <c r="M81" s="6" t="s">
        <v>770</v>
      </c>
      <c r="N81" s="5" t="s">
        <v>771</v>
      </c>
      <c r="O81" s="5" t="s">
        <v>240</v>
      </c>
      <c r="P81" s="6" t="s">
        <v>772</v>
      </c>
      <c r="Q81" s="6"/>
    </row>
    <row r="82" spans="1:17" ht="64" customHeight="1">
      <c r="A82" s="4" t="b">
        <v>0</v>
      </c>
      <c r="B82" s="5" t="s">
        <v>773</v>
      </c>
      <c r="C82" s="6" t="s">
        <v>481</v>
      </c>
      <c r="D82" s="5" t="s">
        <v>774</v>
      </c>
      <c r="E82" s="6" t="s">
        <v>775</v>
      </c>
      <c r="F82" s="6" t="s">
        <v>776</v>
      </c>
      <c r="G82" s="6" t="s">
        <v>777</v>
      </c>
      <c r="H82" s="6" t="s">
        <v>778</v>
      </c>
      <c r="I82" s="5" t="s">
        <v>26</v>
      </c>
      <c r="J82" s="5" t="s">
        <v>779</v>
      </c>
      <c r="K82" s="6" t="s">
        <v>780</v>
      </c>
      <c r="L82" s="6" t="s">
        <v>781</v>
      </c>
      <c r="M82" s="6" t="s">
        <v>562</v>
      </c>
      <c r="N82" s="5" t="s">
        <v>479</v>
      </c>
      <c r="O82" s="5" t="s">
        <v>88</v>
      </c>
      <c r="P82" s="6" t="s">
        <v>782</v>
      </c>
      <c r="Q82" s="6"/>
    </row>
    <row r="83" spans="1:17" ht="64" customHeight="1">
      <c r="A83" s="4" t="b">
        <v>1</v>
      </c>
      <c r="B83" s="5" t="s">
        <v>783</v>
      </c>
      <c r="C83" s="6" t="s">
        <v>784</v>
      </c>
      <c r="D83" s="5" t="s">
        <v>785</v>
      </c>
      <c r="E83" s="6" t="s">
        <v>786</v>
      </c>
      <c r="F83" s="6" t="s">
        <v>787</v>
      </c>
      <c r="G83" s="6" t="s">
        <v>788</v>
      </c>
      <c r="H83" s="6" t="s">
        <v>789</v>
      </c>
      <c r="I83" s="5" t="s">
        <v>26</v>
      </c>
      <c r="J83" s="5" t="s">
        <v>790</v>
      </c>
      <c r="K83" s="6" t="s">
        <v>67</v>
      </c>
      <c r="L83" s="6" t="s">
        <v>791</v>
      </c>
      <c r="M83" s="6" t="s">
        <v>792</v>
      </c>
      <c r="N83" s="5" t="s">
        <v>793</v>
      </c>
      <c r="O83" s="5" t="s">
        <v>32</v>
      </c>
      <c r="P83" s="6" t="s">
        <v>385</v>
      </c>
      <c r="Q83" s="6"/>
    </row>
    <row r="84" spans="1:17" ht="64" customHeight="1">
      <c r="A84" s="4" t="b">
        <v>0</v>
      </c>
      <c r="B84" s="5" t="s">
        <v>794</v>
      </c>
      <c r="C84" s="6" t="s">
        <v>784</v>
      </c>
      <c r="D84" s="5" t="s">
        <v>795</v>
      </c>
      <c r="E84" s="6" t="s">
        <v>796</v>
      </c>
      <c r="F84" s="6" t="s">
        <v>797</v>
      </c>
      <c r="G84" s="6" t="s">
        <v>798</v>
      </c>
      <c r="H84" s="6" t="s">
        <v>799</v>
      </c>
      <c r="I84" s="5" t="s">
        <v>26</v>
      </c>
      <c r="J84" s="5" t="s">
        <v>173</v>
      </c>
      <c r="K84" s="6" t="s">
        <v>800</v>
      </c>
      <c r="L84" s="6" t="s">
        <v>801</v>
      </c>
      <c r="M84" s="6" t="s">
        <v>385</v>
      </c>
      <c r="N84" s="5" t="s">
        <v>802</v>
      </c>
      <c r="O84" s="5" t="s">
        <v>240</v>
      </c>
      <c r="P84" s="6" t="s">
        <v>803</v>
      </c>
      <c r="Q84" s="6"/>
    </row>
    <row r="85" spans="1:17" ht="64" customHeight="1">
      <c r="A85" s="4" t="b">
        <v>0</v>
      </c>
      <c r="B85" s="5" t="s">
        <v>804</v>
      </c>
      <c r="C85" s="6" t="s">
        <v>784</v>
      </c>
      <c r="D85" s="5" t="s">
        <v>805</v>
      </c>
      <c r="E85" s="6" t="s">
        <v>806</v>
      </c>
      <c r="F85" s="6" t="s">
        <v>807</v>
      </c>
      <c r="G85" s="6" t="s">
        <v>808</v>
      </c>
      <c r="H85" s="6" t="s">
        <v>809</v>
      </c>
      <c r="I85" s="5" t="s">
        <v>26</v>
      </c>
      <c r="J85" s="5" t="s">
        <v>346</v>
      </c>
      <c r="K85" s="6" t="s">
        <v>810</v>
      </c>
      <c r="L85" s="6" t="s">
        <v>811</v>
      </c>
      <c r="M85" s="6" t="s">
        <v>812</v>
      </c>
      <c r="N85" s="5" t="s">
        <v>813</v>
      </c>
      <c r="O85" s="5" t="s">
        <v>88</v>
      </c>
      <c r="P85" s="6" t="s">
        <v>814</v>
      </c>
      <c r="Q85" s="6"/>
    </row>
    <row r="86" spans="1:17" ht="64" customHeight="1">
      <c r="A86" s="4" t="b">
        <v>0</v>
      </c>
      <c r="B86" s="5" t="s">
        <v>815</v>
      </c>
      <c r="C86" s="6" t="s">
        <v>784</v>
      </c>
      <c r="D86" s="5" t="s">
        <v>816</v>
      </c>
      <c r="E86" s="6" t="s">
        <v>817</v>
      </c>
      <c r="F86" s="6" t="s">
        <v>818</v>
      </c>
      <c r="G86" s="6" t="s">
        <v>819</v>
      </c>
      <c r="H86" s="6" t="s">
        <v>820</v>
      </c>
      <c r="I86" s="5" t="s">
        <v>26</v>
      </c>
      <c r="J86" s="5" t="s">
        <v>821</v>
      </c>
      <c r="K86" s="6" t="s">
        <v>822</v>
      </c>
      <c r="L86" s="6" t="s">
        <v>823</v>
      </c>
      <c r="M86" s="6" t="s">
        <v>824</v>
      </c>
      <c r="N86" s="5" t="s">
        <v>825</v>
      </c>
      <c r="O86" s="5" t="s">
        <v>240</v>
      </c>
      <c r="P86" s="6" t="s">
        <v>826</v>
      </c>
      <c r="Q86" s="6"/>
    </row>
    <row r="87" spans="1:17" ht="64" customHeight="1">
      <c r="A87" s="4" t="b">
        <v>0</v>
      </c>
      <c r="B87" s="5" t="s">
        <v>827</v>
      </c>
      <c r="C87" s="6" t="s">
        <v>784</v>
      </c>
      <c r="D87" s="5" t="s">
        <v>785</v>
      </c>
      <c r="E87" s="6" t="s">
        <v>828</v>
      </c>
      <c r="F87" s="6" t="s">
        <v>829</v>
      </c>
      <c r="G87" s="6" t="s">
        <v>830</v>
      </c>
      <c r="H87" s="6" t="s">
        <v>831</v>
      </c>
      <c r="I87" s="5" t="s">
        <v>26</v>
      </c>
      <c r="J87" s="5" t="s">
        <v>832</v>
      </c>
      <c r="K87" s="6" t="s">
        <v>833</v>
      </c>
      <c r="L87" s="6" t="s">
        <v>834</v>
      </c>
      <c r="M87" s="6" t="s">
        <v>835</v>
      </c>
      <c r="N87" s="5" t="s">
        <v>836</v>
      </c>
      <c r="O87" s="5" t="s">
        <v>88</v>
      </c>
      <c r="P87" s="6" t="s">
        <v>837</v>
      </c>
      <c r="Q87" s="6"/>
    </row>
    <row r="88" spans="1:17" ht="64" customHeight="1">
      <c r="A88" s="4" t="b">
        <v>0</v>
      </c>
      <c r="B88" s="5" t="s">
        <v>838</v>
      </c>
      <c r="C88" s="6" t="s">
        <v>784</v>
      </c>
      <c r="D88" s="5" t="s">
        <v>839</v>
      </c>
      <c r="E88" s="6" t="s">
        <v>840</v>
      </c>
      <c r="F88" s="6" t="s">
        <v>841</v>
      </c>
      <c r="G88" s="6" t="s">
        <v>842</v>
      </c>
      <c r="H88" s="6" t="s">
        <v>843</v>
      </c>
      <c r="I88" s="5" t="s">
        <v>26</v>
      </c>
      <c r="J88" s="5" t="s">
        <v>832</v>
      </c>
      <c r="K88" s="6" t="s">
        <v>844</v>
      </c>
      <c r="L88" s="6" t="s">
        <v>845</v>
      </c>
      <c r="M88" s="6" t="s">
        <v>846</v>
      </c>
      <c r="N88" s="5" t="s">
        <v>847</v>
      </c>
      <c r="O88" s="5" t="s">
        <v>88</v>
      </c>
      <c r="P88" s="6" t="s">
        <v>848</v>
      </c>
      <c r="Q88" s="6"/>
    </row>
  </sheetData>
  <autoFilter ref="A4:Q88"/>
  <mergeCells count="2">
    <mergeCell ref="A1:Q1"/>
    <mergeCell ref="A2:Q2"/>
  </mergeCells>
  <conditionalFormatting sqref="A5:Q88">
    <cfRule type="expression" dxfId="0" priority="1">
      <formula>$A5=TRUE</formula>
    </cfRule>
  </conditionalFormatting>
  <conditionalFormatting sqref="I5:I88">
    <cfRule type="containsText" dxfId="1" priority="2" operator="containsText" text="Must">
      <formula>NOT(ISERROR(SEARCH("Must",I5)))</formula>
    </cfRule>
    <cfRule type="containsText" dxfId="2" priority="3" operator="containsText" text="Should">
      <formula>NOT(ISERROR(SEARCH("Should",I5)))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27.7109375" customWidth="1"/>
    <col min="3" max="8" width="18.7109375" customWidth="1"/>
  </cols>
  <sheetData>
    <row r="1" spans="1:8" ht="30" customHeight="1">
      <c r="A1" s="1" t="s">
        <v>849</v>
      </c>
      <c r="B1" s="1"/>
      <c r="C1" s="1"/>
      <c r="D1" s="1"/>
      <c r="E1" s="1"/>
      <c r="F1" s="1"/>
      <c r="G1" s="1"/>
      <c r="H1" s="1"/>
    </row>
    <row r="2" spans="1:8" ht="36" customHeight="1">
      <c r="A2" s="2" t="s">
        <v>850</v>
      </c>
      <c r="B2" s="2"/>
      <c r="C2" s="2"/>
      <c r="D2" s="2"/>
      <c r="E2" s="2"/>
      <c r="F2" s="2"/>
      <c r="G2" s="2"/>
      <c r="H2" s="2"/>
    </row>
    <row r="4" spans="1:8">
      <c r="B4" s="7" t="s">
        <v>851</v>
      </c>
      <c r="C4" s="7" t="s">
        <v>852</v>
      </c>
      <c r="D4" s="7" t="s">
        <v>853</v>
      </c>
      <c r="E4" s="7" t="s">
        <v>854</v>
      </c>
      <c r="F4" s="7" t="s">
        <v>855</v>
      </c>
      <c r="G4" s="7" t="s">
        <v>856</v>
      </c>
      <c r="H4" s="7" t="s">
        <v>857</v>
      </c>
    </row>
    <row r="5" spans="1:8" ht="48" customHeight="1">
      <c r="B5" s="8">
        <f>COUNTA(Backlog!$B$5:$B$88)</f>
        <v>0</v>
      </c>
      <c r="C5" s="8">
        <f>COUNTIF(Backlog!$A$5:$A$88,TRUE)</f>
        <v>0</v>
      </c>
      <c r="D5" s="8">
        <f>B5-C5</f>
        <v>0</v>
      </c>
      <c r="E5" s="9">
        <f>IFERROR(C5/B5,0)</f>
        <v>0</v>
      </c>
      <c r="F5" s="8">
        <f>COUNTIFS(Backlog!$I$5:$I$88,"Must",Backlog!$A$5:$A$88,FALSE)</f>
        <v>0</v>
      </c>
      <c r="G5" s="8">
        <f>COUNTIF('Hiện trạng mã'!$C$5:$C$36,"Chưa có")</f>
        <v>0</v>
      </c>
      <c r="H5" s="8">
        <f>COUNTA('Tích hợp &amp; dữ liệu'!$A$5:$A$26)</f>
        <v>0</v>
      </c>
    </row>
    <row r="7" spans="1:8">
      <c r="B7" s="10" t="s">
        <v>858</v>
      </c>
      <c r="C7" s="10"/>
      <c r="D7" s="10"/>
      <c r="E7" s="10"/>
      <c r="F7" s="10"/>
      <c r="G7" s="10"/>
      <c r="H7" s="10"/>
    </row>
    <row r="8" spans="1:8" ht="29" customHeight="1">
      <c r="B8" s="11" t="s">
        <v>859</v>
      </c>
      <c r="C8" s="11"/>
      <c r="D8" s="11"/>
      <c r="E8" s="11"/>
      <c r="F8" s="11"/>
      <c r="G8" s="11"/>
      <c r="H8" s="11"/>
    </row>
    <row r="9" spans="1:8" ht="29" customHeight="1">
      <c r="B9" s="11" t="s">
        <v>860</v>
      </c>
      <c r="C9" s="11"/>
      <c r="D9" s="11"/>
      <c r="E9" s="11"/>
      <c r="F9" s="11"/>
      <c r="G9" s="11"/>
      <c r="H9" s="11"/>
    </row>
    <row r="10" spans="1:8" ht="29" customHeight="1">
      <c r="B10" s="11" t="s">
        <v>861</v>
      </c>
      <c r="C10" s="11"/>
      <c r="D10" s="11"/>
      <c r="E10" s="11"/>
      <c r="F10" s="11"/>
      <c r="G10" s="11"/>
      <c r="H10" s="11"/>
    </row>
    <row r="11" spans="1:8" ht="29" customHeight="1">
      <c r="B11" s="11" t="s">
        <v>862</v>
      </c>
      <c r="C11" s="11"/>
      <c r="D11" s="11"/>
      <c r="E11" s="11"/>
      <c r="F11" s="11"/>
      <c r="G11" s="11"/>
      <c r="H11" s="11"/>
    </row>
    <row r="12" spans="1:8" ht="29" customHeight="1">
      <c r="B12" s="11" t="s">
        <v>863</v>
      </c>
      <c r="C12" s="11"/>
      <c r="D12" s="11"/>
      <c r="E12" s="11"/>
      <c r="F12" s="11"/>
      <c r="G12" s="11"/>
      <c r="H12" s="11"/>
    </row>
    <row r="13" spans="1:8" ht="29" customHeight="1">
      <c r="B13" s="11" t="s">
        <v>864</v>
      </c>
      <c r="C13" s="11"/>
      <c r="D13" s="11"/>
      <c r="E13" s="11"/>
      <c r="F13" s="11"/>
      <c r="G13" s="11"/>
      <c r="H13" s="11"/>
    </row>
    <row r="14" spans="1:8" ht="42" customHeight="1">
      <c r="B14" s="11" t="s">
        <v>865</v>
      </c>
      <c r="C14" s="11"/>
      <c r="D14" s="11"/>
      <c r="E14" s="11"/>
      <c r="F14" s="11"/>
      <c r="G14" s="11"/>
      <c r="H14" s="11"/>
    </row>
    <row r="16" spans="1:8">
      <c r="B16" s="10" t="s">
        <v>866</v>
      </c>
      <c r="C16" s="10"/>
      <c r="D16" s="10"/>
      <c r="E16" s="10"/>
      <c r="F16" s="10"/>
      <c r="G16" s="10"/>
      <c r="H16" s="10"/>
    </row>
    <row r="17" spans="2:8" ht="48" customHeight="1">
      <c r="B17" s="7" t="s">
        <v>867</v>
      </c>
      <c r="C17" s="11" t="s">
        <v>868</v>
      </c>
      <c r="D17" s="11"/>
      <c r="E17" s="11"/>
      <c r="F17" s="11"/>
      <c r="G17" s="11"/>
      <c r="H17" s="11"/>
    </row>
    <row r="18" spans="2:8" ht="48" customHeight="1">
      <c r="B18" s="7" t="s">
        <v>869</v>
      </c>
      <c r="C18" s="11" t="s">
        <v>870</v>
      </c>
      <c r="D18" s="11"/>
      <c r="E18" s="11"/>
      <c r="F18" s="11"/>
      <c r="G18" s="11"/>
      <c r="H18" s="11"/>
    </row>
    <row r="19" spans="2:8" ht="48" customHeight="1">
      <c r="B19" s="7" t="s">
        <v>871</v>
      </c>
      <c r="C19" s="11" t="s">
        <v>872</v>
      </c>
      <c r="D19" s="11"/>
      <c r="E19" s="11"/>
      <c r="F19" s="11"/>
      <c r="G19" s="11"/>
      <c r="H19" s="11"/>
    </row>
    <row r="20" spans="2:8" ht="48" customHeight="1">
      <c r="B20" s="7" t="s">
        <v>873</v>
      </c>
      <c r="C20" s="11" t="s">
        <v>874</v>
      </c>
      <c r="D20" s="11"/>
      <c r="E20" s="11"/>
      <c r="F20" s="11"/>
      <c r="G20" s="11"/>
      <c r="H20" s="11"/>
    </row>
    <row r="21" spans="2:8" ht="48" customHeight="1">
      <c r="B21" s="7" t="s">
        <v>875</v>
      </c>
      <c r="C21" s="11" t="s">
        <v>876</v>
      </c>
      <c r="D21" s="11"/>
      <c r="E21" s="11"/>
      <c r="F21" s="11"/>
      <c r="G21" s="11"/>
      <c r="H21" s="11"/>
    </row>
    <row r="22" spans="2:8" ht="48" customHeight="1">
      <c r="B22" s="7" t="s">
        <v>877</v>
      </c>
      <c r="C22" s="11" t="s">
        <v>878</v>
      </c>
      <c r="D22" s="11"/>
      <c r="E22" s="11"/>
      <c r="F22" s="11"/>
      <c r="G22" s="11"/>
      <c r="H22" s="11"/>
    </row>
  </sheetData>
  <mergeCells count="17">
    <mergeCell ref="A1:H1"/>
    <mergeCell ref="A2:H2"/>
    <mergeCell ref="B7:H7"/>
    <mergeCell ref="B8:H8"/>
    <mergeCell ref="B9:H9"/>
    <mergeCell ref="B10:H10"/>
    <mergeCell ref="B11:H11"/>
    <mergeCell ref="B12:H12"/>
    <mergeCell ref="B13:H13"/>
    <mergeCell ref="B14:H14"/>
    <mergeCell ref="B16:H16"/>
    <mergeCell ref="C17:H17"/>
    <mergeCell ref="C18:H18"/>
    <mergeCell ref="C19:H19"/>
    <mergeCell ref="C20:H20"/>
    <mergeCell ref="C21:H21"/>
    <mergeCell ref="C22:H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4" max="4" width="18.7109375" customWidth="1"/>
    <col min="5" max="5" width="46.7109375" customWidth="1"/>
    <col min="6" max="6" width="50.7109375" customWidth="1"/>
    <col min="7" max="7" width="42.7109375" customWidth="1"/>
  </cols>
  <sheetData>
    <row r="1" spans="1:7" ht="30" customHeight="1">
      <c r="A1" s="1" t="s">
        <v>879</v>
      </c>
      <c r="B1" s="1"/>
      <c r="C1" s="1"/>
      <c r="D1" s="1"/>
      <c r="E1" s="1"/>
      <c r="F1" s="1"/>
      <c r="G1" s="1"/>
    </row>
    <row r="2" spans="1:7" ht="36" customHeight="1">
      <c r="A2" s="2" t="s">
        <v>880</v>
      </c>
      <c r="B2" s="2"/>
      <c r="C2" s="2"/>
      <c r="D2" s="2"/>
      <c r="E2" s="2"/>
      <c r="F2" s="2"/>
      <c r="G2" s="2"/>
    </row>
    <row r="4" spans="1:7" ht="42" customHeight="1">
      <c r="A4" s="3" t="s">
        <v>5</v>
      </c>
      <c r="B4" s="3" t="s">
        <v>881</v>
      </c>
      <c r="C4" s="3" t="s">
        <v>882</v>
      </c>
      <c r="D4" s="3" t="s">
        <v>883</v>
      </c>
      <c r="E4" s="3" t="s">
        <v>884</v>
      </c>
      <c r="F4" s="3" t="s">
        <v>885</v>
      </c>
      <c r="G4" s="3" t="s">
        <v>886</v>
      </c>
    </row>
    <row r="5" spans="1:7" ht="57" customHeight="1">
      <c r="A5" s="5" t="s">
        <v>104</v>
      </c>
      <c r="B5" s="6" t="s">
        <v>887</v>
      </c>
      <c r="C5" s="5" t="s">
        <v>888</v>
      </c>
      <c r="D5" s="12">
        <v>0.35</v>
      </c>
      <c r="E5" s="6" t="s">
        <v>889</v>
      </c>
      <c r="F5" s="6" t="s">
        <v>890</v>
      </c>
      <c r="G5" s="6" t="s">
        <v>111</v>
      </c>
    </row>
    <row r="6" spans="1:7" ht="57" customHeight="1">
      <c r="A6" s="5" t="s">
        <v>133</v>
      </c>
      <c r="B6" s="6" t="s">
        <v>891</v>
      </c>
      <c r="C6" s="5" t="s">
        <v>888</v>
      </c>
      <c r="D6" s="12">
        <v>0.65</v>
      </c>
      <c r="E6" s="6" t="s">
        <v>892</v>
      </c>
      <c r="F6" s="6" t="s">
        <v>893</v>
      </c>
      <c r="G6" s="6" t="s">
        <v>149</v>
      </c>
    </row>
    <row r="7" spans="1:7" ht="57" customHeight="1">
      <c r="A7" s="5" t="s">
        <v>168</v>
      </c>
      <c r="B7" s="6" t="s">
        <v>894</v>
      </c>
      <c r="C7" s="5" t="s">
        <v>269</v>
      </c>
      <c r="D7" s="12">
        <v>0.1</v>
      </c>
      <c r="E7" s="6" t="s">
        <v>895</v>
      </c>
      <c r="F7" s="6" t="s">
        <v>896</v>
      </c>
      <c r="G7" s="6" t="s">
        <v>176</v>
      </c>
    </row>
    <row r="8" spans="1:7" ht="57" customHeight="1">
      <c r="A8" s="5" t="s">
        <v>199</v>
      </c>
      <c r="B8" s="6" t="s">
        <v>897</v>
      </c>
      <c r="C8" s="5" t="s">
        <v>888</v>
      </c>
      <c r="D8" s="12">
        <v>0.7</v>
      </c>
      <c r="E8" s="6" t="s">
        <v>898</v>
      </c>
      <c r="F8" s="6" t="s">
        <v>899</v>
      </c>
      <c r="G8" s="6" t="s">
        <v>900</v>
      </c>
    </row>
    <row r="9" spans="1:7" ht="57" customHeight="1">
      <c r="A9" s="5" t="s">
        <v>231</v>
      </c>
      <c r="B9" s="6" t="s">
        <v>901</v>
      </c>
      <c r="C9" s="5" t="s">
        <v>902</v>
      </c>
      <c r="D9" s="12">
        <v>0.25</v>
      </c>
      <c r="E9" s="6" t="s">
        <v>903</v>
      </c>
      <c r="F9" s="6" t="s">
        <v>904</v>
      </c>
      <c r="G9" s="6" t="s">
        <v>259</v>
      </c>
    </row>
    <row r="10" spans="1:7" ht="57" customHeight="1">
      <c r="A10" s="5" t="s">
        <v>262</v>
      </c>
      <c r="B10" s="6" t="s">
        <v>905</v>
      </c>
      <c r="C10" s="5" t="s">
        <v>269</v>
      </c>
      <c r="D10" s="12">
        <v>0</v>
      </c>
      <c r="E10" s="6" t="s">
        <v>906</v>
      </c>
      <c r="F10" s="6" t="s">
        <v>907</v>
      </c>
      <c r="G10" s="6" t="s">
        <v>269</v>
      </c>
    </row>
    <row r="11" spans="1:7" ht="57" customHeight="1">
      <c r="A11" s="5" t="s">
        <v>279</v>
      </c>
      <c r="B11" s="6" t="s">
        <v>908</v>
      </c>
      <c r="C11" s="5" t="s">
        <v>902</v>
      </c>
      <c r="D11" s="12">
        <v>0.2</v>
      </c>
      <c r="E11" s="6" t="s">
        <v>909</v>
      </c>
      <c r="F11" s="6" t="s">
        <v>910</v>
      </c>
      <c r="G11" s="6" t="s">
        <v>911</v>
      </c>
    </row>
    <row r="12" spans="1:7" ht="57" customHeight="1">
      <c r="A12" s="5" t="s">
        <v>314</v>
      </c>
      <c r="B12" s="6" t="s">
        <v>912</v>
      </c>
      <c r="C12" s="5" t="s">
        <v>269</v>
      </c>
      <c r="D12" s="12">
        <v>0</v>
      </c>
      <c r="E12" s="6" t="s">
        <v>913</v>
      </c>
      <c r="F12" s="6" t="s">
        <v>914</v>
      </c>
      <c r="G12" s="6" t="s">
        <v>269</v>
      </c>
    </row>
    <row r="13" spans="1:7" ht="57" customHeight="1">
      <c r="A13" s="5" t="s">
        <v>341</v>
      </c>
      <c r="B13" s="6" t="s">
        <v>915</v>
      </c>
      <c r="C13" s="5" t="s">
        <v>888</v>
      </c>
      <c r="D13" s="12">
        <v>0.6</v>
      </c>
      <c r="E13" s="6" t="s">
        <v>916</v>
      </c>
      <c r="F13" s="6" t="s">
        <v>917</v>
      </c>
      <c r="G13" s="6" t="s">
        <v>349</v>
      </c>
    </row>
    <row r="14" spans="1:7" ht="57" customHeight="1">
      <c r="A14" s="5" t="s">
        <v>390</v>
      </c>
      <c r="B14" s="6" t="s">
        <v>918</v>
      </c>
      <c r="C14" s="5" t="s">
        <v>888</v>
      </c>
      <c r="D14" s="12">
        <v>0.25</v>
      </c>
      <c r="E14" s="6" t="s">
        <v>919</v>
      </c>
      <c r="F14" s="6" t="s">
        <v>920</v>
      </c>
      <c r="G14" s="6" t="s">
        <v>921</v>
      </c>
    </row>
    <row r="15" spans="1:7" ht="57" customHeight="1">
      <c r="A15" s="5" t="s">
        <v>420</v>
      </c>
      <c r="B15" s="6" t="s">
        <v>922</v>
      </c>
      <c r="C15" s="5" t="s">
        <v>269</v>
      </c>
      <c r="D15" s="12">
        <v>0</v>
      </c>
      <c r="E15" s="6" t="s">
        <v>923</v>
      </c>
      <c r="F15" s="6" t="s">
        <v>924</v>
      </c>
      <c r="G15" s="6" t="s">
        <v>269</v>
      </c>
    </row>
    <row r="16" spans="1:7" ht="57" customHeight="1">
      <c r="A16" s="5" t="s">
        <v>432</v>
      </c>
      <c r="B16" s="6" t="s">
        <v>440</v>
      </c>
      <c r="C16" s="5" t="s">
        <v>269</v>
      </c>
      <c r="D16" s="12">
        <v>0</v>
      </c>
      <c r="E16" s="6" t="s">
        <v>925</v>
      </c>
      <c r="F16" s="6" t="s">
        <v>926</v>
      </c>
      <c r="G16" s="6" t="s">
        <v>269</v>
      </c>
    </row>
    <row r="17" spans="1:7" ht="57" customHeight="1">
      <c r="A17" s="5" t="s">
        <v>443</v>
      </c>
      <c r="B17" s="6" t="s">
        <v>927</v>
      </c>
      <c r="C17" s="5" t="s">
        <v>902</v>
      </c>
      <c r="D17" s="12">
        <v>0.05</v>
      </c>
      <c r="E17" s="6" t="s">
        <v>928</v>
      </c>
      <c r="F17" s="6" t="s">
        <v>929</v>
      </c>
      <c r="G17" s="6" t="s">
        <v>930</v>
      </c>
    </row>
    <row r="18" spans="1:7" ht="57" customHeight="1">
      <c r="A18" s="5" t="s">
        <v>462</v>
      </c>
      <c r="B18" s="6" t="s">
        <v>931</v>
      </c>
      <c r="C18" s="5" t="s">
        <v>888</v>
      </c>
      <c r="D18" s="12">
        <v>0.35</v>
      </c>
      <c r="E18" s="6" t="s">
        <v>932</v>
      </c>
      <c r="F18" s="6" t="s">
        <v>933</v>
      </c>
      <c r="G18" s="6" t="s">
        <v>934</v>
      </c>
    </row>
    <row r="19" spans="1:7" ht="57" customHeight="1">
      <c r="A19" s="5" t="s">
        <v>482</v>
      </c>
      <c r="B19" s="6" t="s">
        <v>935</v>
      </c>
      <c r="C19" s="5" t="s">
        <v>888</v>
      </c>
      <c r="D19" s="12">
        <v>0.35</v>
      </c>
      <c r="E19" s="6" t="s">
        <v>936</v>
      </c>
      <c r="F19" s="6" t="s">
        <v>937</v>
      </c>
      <c r="G19" s="6" t="s">
        <v>938</v>
      </c>
    </row>
    <row r="20" spans="1:7" ht="57" customHeight="1">
      <c r="A20" s="5" t="s">
        <v>502</v>
      </c>
      <c r="B20" s="6" t="s">
        <v>939</v>
      </c>
      <c r="C20" s="5" t="s">
        <v>888</v>
      </c>
      <c r="D20" s="12">
        <v>0.75</v>
      </c>
      <c r="E20" s="6" t="s">
        <v>940</v>
      </c>
      <c r="F20" s="6" t="s">
        <v>941</v>
      </c>
      <c r="G20" s="6" t="s">
        <v>942</v>
      </c>
    </row>
    <row r="21" spans="1:7" ht="57" customHeight="1">
      <c r="A21" s="5" t="s">
        <v>520</v>
      </c>
      <c r="B21" s="6" t="s">
        <v>943</v>
      </c>
      <c r="C21" s="5" t="s">
        <v>888</v>
      </c>
      <c r="D21" s="12">
        <v>0.5</v>
      </c>
      <c r="E21" s="6" t="s">
        <v>944</v>
      </c>
      <c r="F21" s="6" t="s">
        <v>945</v>
      </c>
      <c r="G21" s="6" t="s">
        <v>527</v>
      </c>
    </row>
    <row r="22" spans="1:7" ht="57" customHeight="1">
      <c r="A22" s="5" t="s">
        <v>539</v>
      </c>
      <c r="B22" s="6" t="s">
        <v>946</v>
      </c>
      <c r="C22" s="5" t="s">
        <v>888</v>
      </c>
      <c r="D22" s="12">
        <v>0.55</v>
      </c>
      <c r="E22" s="6" t="s">
        <v>947</v>
      </c>
      <c r="F22" s="6" t="s">
        <v>948</v>
      </c>
      <c r="G22" s="6" t="s">
        <v>949</v>
      </c>
    </row>
    <row r="23" spans="1:7" ht="57" customHeight="1">
      <c r="A23" s="5" t="s">
        <v>165</v>
      </c>
      <c r="B23" s="6" t="s">
        <v>950</v>
      </c>
      <c r="C23" s="5" t="s">
        <v>888</v>
      </c>
      <c r="D23" s="12">
        <v>0.3</v>
      </c>
      <c r="E23" s="6" t="s">
        <v>951</v>
      </c>
      <c r="F23" s="6" t="s">
        <v>952</v>
      </c>
      <c r="G23" s="6" t="s">
        <v>953</v>
      </c>
    </row>
    <row r="24" spans="1:7" ht="57" customHeight="1">
      <c r="A24" s="5" t="s">
        <v>582</v>
      </c>
      <c r="B24" s="6" t="s">
        <v>954</v>
      </c>
      <c r="C24" s="5" t="s">
        <v>888</v>
      </c>
      <c r="D24" s="12">
        <v>0.7</v>
      </c>
      <c r="E24" s="6" t="s">
        <v>955</v>
      </c>
      <c r="F24" s="6" t="s">
        <v>956</v>
      </c>
      <c r="G24" s="6" t="s">
        <v>957</v>
      </c>
    </row>
    <row r="25" spans="1:7" ht="57" customHeight="1">
      <c r="A25" s="5" t="s">
        <v>604</v>
      </c>
      <c r="B25" s="6" t="s">
        <v>958</v>
      </c>
      <c r="C25" s="5" t="s">
        <v>269</v>
      </c>
      <c r="D25" s="12">
        <v>0</v>
      </c>
      <c r="E25" s="6" t="s">
        <v>959</v>
      </c>
      <c r="F25" s="6" t="s">
        <v>960</v>
      </c>
      <c r="G25" s="6" t="s">
        <v>269</v>
      </c>
    </row>
    <row r="26" spans="1:7" ht="57" customHeight="1">
      <c r="A26" s="5" t="s">
        <v>622</v>
      </c>
      <c r="B26" s="6" t="s">
        <v>961</v>
      </c>
      <c r="C26" s="5" t="s">
        <v>269</v>
      </c>
      <c r="D26" s="12">
        <v>0</v>
      </c>
      <c r="E26" s="6" t="s">
        <v>925</v>
      </c>
      <c r="F26" s="6" t="s">
        <v>962</v>
      </c>
      <c r="G26" s="6" t="s">
        <v>269</v>
      </c>
    </row>
    <row r="27" spans="1:7" ht="57" customHeight="1">
      <c r="A27" s="5" t="s">
        <v>632</v>
      </c>
      <c r="B27" s="6" t="s">
        <v>963</v>
      </c>
      <c r="C27" s="5" t="s">
        <v>269</v>
      </c>
      <c r="D27" s="12">
        <v>0</v>
      </c>
      <c r="E27" s="6" t="s">
        <v>925</v>
      </c>
      <c r="F27" s="6" t="s">
        <v>964</v>
      </c>
      <c r="G27" s="6" t="s">
        <v>269</v>
      </c>
    </row>
    <row r="28" spans="1:7" ht="57" customHeight="1">
      <c r="A28" s="5" t="s">
        <v>641</v>
      </c>
      <c r="B28" s="6" t="s">
        <v>965</v>
      </c>
      <c r="C28" s="5" t="s">
        <v>902</v>
      </c>
      <c r="D28" s="12">
        <v>0.45</v>
      </c>
      <c r="E28" s="6" t="s">
        <v>966</v>
      </c>
      <c r="F28" s="6" t="s">
        <v>967</v>
      </c>
      <c r="G28" s="6" t="s">
        <v>968</v>
      </c>
    </row>
    <row r="29" spans="1:7" ht="57" customHeight="1">
      <c r="A29" s="5" t="s">
        <v>129</v>
      </c>
      <c r="B29" s="6" t="s">
        <v>969</v>
      </c>
      <c r="C29" s="5" t="s">
        <v>269</v>
      </c>
      <c r="D29" s="12">
        <v>0.15</v>
      </c>
      <c r="E29" s="6" t="s">
        <v>970</v>
      </c>
      <c r="F29" s="6" t="s">
        <v>971</v>
      </c>
      <c r="G29" s="6" t="s">
        <v>972</v>
      </c>
    </row>
    <row r="30" spans="1:7" ht="57" customHeight="1">
      <c r="A30" s="5" t="s">
        <v>336</v>
      </c>
      <c r="B30" s="6" t="s">
        <v>973</v>
      </c>
      <c r="C30" s="5" t="s">
        <v>269</v>
      </c>
      <c r="D30" s="12">
        <v>0</v>
      </c>
      <c r="E30" s="6" t="s">
        <v>925</v>
      </c>
      <c r="F30" s="6" t="s">
        <v>974</v>
      </c>
      <c r="G30" s="6" t="s">
        <v>269</v>
      </c>
    </row>
    <row r="31" spans="1:7" ht="57" customHeight="1">
      <c r="A31" s="5" t="s">
        <v>687</v>
      </c>
      <c r="B31" s="6" t="s">
        <v>975</v>
      </c>
      <c r="C31" s="5" t="s">
        <v>888</v>
      </c>
      <c r="D31" s="12">
        <v>0.65</v>
      </c>
      <c r="E31" s="6" t="s">
        <v>976</v>
      </c>
      <c r="F31" s="6" t="s">
        <v>977</v>
      </c>
      <c r="G31" s="6" t="s">
        <v>978</v>
      </c>
    </row>
    <row r="32" spans="1:7" ht="57" customHeight="1">
      <c r="A32" s="5" t="s">
        <v>708</v>
      </c>
      <c r="B32" s="6" t="s">
        <v>979</v>
      </c>
      <c r="C32" s="5" t="s">
        <v>888</v>
      </c>
      <c r="D32" s="12">
        <v>0.6</v>
      </c>
      <c r="E32" s="6" t="s">
        <v>980</v>
      </c>
      <c r="F32" s="6" t="s">
        <v>981</v>
      </c>
      <c r="G32" s="6" t="s">
        <v>310</v>
      </c>
    </row>
    <row r="33" spans="1:7" ht="57" customHeight="1">
      <c r="A33" s="5" t="s">
        <v>733</v>
      </c>
      <c r="B33" s="6" t="s">
        <v>982</v>
      </c>
      <c r="C33" s="5" t="s">
        <v>902</v>
      </c>
      <c r="D33" s="12">
        <v>0.45</v>
      </c>
      <c r="E33" s="6" t="s">
        <v>983</v>
      </c>
      <c r="F33" s="6" t="s">
        <v>984</v>
      </c>
      <c r="G33" s="6" t="s">
        <v>985</v>
      </c>
    </row>
    <row r="34" spans="1:7" ht="57" customHeight="1">
      <c r="A34" s="5" t="s">
        <v>744</v>
      </c>
      <c r="B34" s="6" t="s">
        <v>986</v>
      </c>
      <c r="C34" s="5" t="s">
        <v>269</v>
      </c>
      <c r="D34" s="12">
        <v>0.15</v>
      </c>
      <c r="E34" s="6" t="s">
        <v>987</v>
      </c>
      <c r="F34" s="6" t="s">
        <v>988</v>
      </c>
      <c r="G34" s="6" t="s">
        <v>310</v>
      </c>
    </row>
    <row r="35" spans="1:7" ht="57" customHeight="1">
      <c r="A35" s="5" t="s">
        <v>754</v>
      </c>
      <c r="B35" s="6" t="s">
        <v>989</v>
      </c>
      <c r="C35" s="5" t="s">
        <v>269</v>
      </c>
      <c r="D35" s="12">
        <v>0</v>
      </c>
      <c r="E35" s="6" t="s">
        <v>925</v>
      </c>
      <c r="F35" s="6" t="s">
        <v>990</v>
      </c>
      <c r="G35" s="6" t="s">
        <v>269</v>
      </c>
    </row>
  </sheetData>
  <autoFilter ref="A4:G35"/>
  <mergeCells count="2">
    <mergeCell ref="A1:G1"/>
    <mergeCell ref="A2:G2"/>
  </mergeCells>
  <conditionalFormatting sqref="C5:C35">
    <cfRule type="containsText" dxfId="1" priority="1" operator="containsText" text="Chưa có">
      <formula>NOT(ISERROR(SEARCH("Chưa có",C5)))</formula>
    </cfRule>
    <cfRule type="containsText" dxfId="2" priority="2" operator="containsText" text="Mock">
      <formula>NOT(ISERROR(SEARCH("Mock",C5)))</formula>
    </cfRule>
    <cfRule type="containsText" dxfId="3" priority="3" operator="containsText" text="Một phần">
      <formula>NOT(ISERROR(SEARCH("Một phần",C5)))</formula>
    </cfRule>
  </conditionalFormatting>
  <conditionalFormatting sqref="D5:D35">
    <cfRule type="dataBar" priority="4">
      <dataBar>
        <cfvo type="min" val="0"/>
        <cfvo type="max" val="0"/>
        <color rgb="FF4F81BD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showGridLines="0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5" width="13.7109375" customWidth="1"/>
    <col min="6" max="6" width="29.7109375" customWidth="1"/>
    <col min="7" max="7" width="55.7109375" customWidth="1"/>
    <col min="8" max="8" width="31.7109375" customWidth="1"/>
    <col min="9" max="9" width="42.7109375" customWidth="1"/>
    <col min="10" max="10" width="35.7109375" customWidth="1"/>
  </cols>
  <sheetData>
    <row r="1" spans="1:10" ht="30" customHeight="1">
      <c r="A1" s="1" t="s">
        <v>991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992</v>
      </c>
      <c r="B2" s="2"/>
      <c r="C2" s="2"/>
      <c r="D2" s="2"/>
      <c r="E2" s="2"/>
      <c r="F2" s="2"/>
      <c r="G2" s="2"/>
      <c r="H2" s="2"/>
      <c r="I2" s="2"/>
      <c r="J2" s="2"/>
    </row>
    <row r="4" spans="1:10" ht="42" customHeight="1">
      <c r="A4" s="3" t="s">
        <v>3</v>
      </c>
      <c r="B4" s="3" t="s">
        <v>993</v>
      </c>
      <c r="C4" s="3" t="s">
        <v>994</v>
      </c>
      <c r="D4" s="3" t="s">
        <v>995</v>
      </c>
      <c r="E4" s="3" t="s">
        <v>996</v>
      </c>
      <c r="F4" s="3" t="s">
        <v>997</v>
      </c>
      <c r="G4" s="3" t="s">
        <v>79</v>
      </c>
      <c r="H4" s="3" t="s">
        <v>998</v>
      </c>
      <c r="I4" s="3" t="s">
        <v>999</v>
      </c>
      <c r="J4" s="3" t="s">
        <v>1000</v>
      </c>
    </row>
    <row r="5" spans="1:10" ht="135" customHeight="1">
      <c r="A5" s="5" t="s">
        <v>1001</v>
      </c>
      <c r="B5" s="6" t="s">
        <v>1002</v>
      </c>
      <c r="C5" s="6" t="s">
        <v>1003</v>
      </c>
      <c r="D5" s="5" t="s">
        <v>1004</v>
      </c>
      <c r="E5" s="5" t="s">
        <v>1005</v>
      </c>
      <c r="F5" s="6" t="s">
        <v>1006</v>
      </c>
      <c r="G5" s="13" t="s">
        <v>1007</v>
      </c>
      <c r="H5" s="6" t="s">
        <v>1008</v>
      </c>
      <c r="I5" s="6" t="s">
        <v>1009</v>
      </c>
      <c r="J5" s="6" t="s">
        <v>1010</v>
      </c>
    </row>
    <row r="6" spans="1:10" ht="135" customHeight="1">
      <c r="A6" s="5" t="s">
        <v>1011</v>
      </c>
      <c r="B6" s="6" t="s">
        <v>1012</v>
      </c>
      <c r="C6" s="6" t="s">
        <v>1013</v>
      </c>
      <c r="D6" s="5" t="s">
        <v>1014</v>
      </c>
      <c r="E6" s="5" t="s">
        <v>1005</v>
      </c>
      <c r="F6" s="6" t="s">
        <v>1015</v>
      </c>
      <c r="G6" s="13" t="s">
        <v>1016</v>
      </c>
      <c r="H6" s="6" t="s">
        <v>1017</v>
      </c>
      <c r="I6" s="6" t="s">
        <v>1018</v>
      </c>
      <c r="J6" s="6" t="s">
        <v>1019</v>
      </c>
    </row>
    <row r="7" spans="1:10" ht="135" customHeight="1">
      <c r="A7" s="5" t="s">
        <v>1020</v>
      </c>
      <c r="B7" s="6" t="s">
        <v>1021</v>
      </c>
      <c r="C7" s="6" t="s">
        <v>1022</v>
      </c>
      <c r="D7" s="5" t="s">
        <v>1014</v>
      </c>
      <c r="E7" s="5" t="s">
        <v>1005</v>
      </c>
      <c r="F7" s="6" t="s">
        <v>1023</v>
      </c>
      <c r="G7" s="13" t="s">
        <v>1024</v>
      </c>
      <c r="H7" s="6" t="s">
        <v>1025</v>
      </c>
      <c r="I7" s="6" t="s">
        <v>1026</v>
      </c>
      <c r="J7" s="6" t="s">
        <v>1019</v>
      </c>
    </row>
    <row r="8" spans="1:10" ht="135" customHeight="1">
      <c r="A8" s="5" t="s">
        <v>1027</v>
      </c>
      <c r="B8" s="6" t="s">
        <v>1028</v>
      </c>
      <c r="C8" s="6" t="s">
        <v>1029</v>
      </c>
      <c r="D8" s="5" t="s">
        <v>1030</v>
      </c>
      <c r="E8" s="5" t="s">
        <v>1005</v>
      </c>
      <c r="F8" s="6" t="s">
        <v>1031</v>
      </c>
      <c r="G8" s="13" t="s">
        <v>1032</v>
      </c>
      <c r="H8" s="6" t="s">
        <v>1033</v>
      </c>
      <c r="I8" s="6" t="s">
        <v>1034</v>
      </c>
      <c r="J8" s="6" t="s">
        <v>1035</v>
      </c>
    </row>
    <row r="9" spans="1:10" ht="135" customHeight="1">
      <c r="A9" s="5" t="s">
        <v>1036</v>
      </c>
      <c r="B9" s="6" t="s">
        <v>1037</v>
      </c>
      <c r="C9" s="6" t="s">
        <v>1038</v>
      </c>
      <c r="D9" s="5" t="s">
        <v>1030</v>
      </c>
      <c r="E9" s="5" t="s">
        <v>888</v>
      </c>
      <c r="F9" s="6" t="s">
        <v>1039</v>
      </c>
      <c r="G9" s="13" t="s">
        <v>1040</v>
      </c>
      <c r="H9" s="6" t="s">
        <v>1041</v>
      </c>
      <c r="I9" s="6" t="s">
        <v>1042</v>
      </c>
      <c r="J9" s="6" t="s">
        <v>1043</v>
      </c>
    </row>
    <row r="10" spans="1:10" ht="135" customHeight="1">
      <c r="A10" s="5" t="s">
        <v>1044</v>
      </c>
      <c r="B10" s="6" t="s">
        <v>1045</v>
      </c>
      <c r="C10" s="6" t="s">
        <v>1046</v>
      </c>
      <c r="D10" s="5" t="s">
        <v>1047</v>
      </c>
      <c r="E10" s="5" t="s">
        <v>269</v>
      </c>
      <c r="F10" s="6" t="s">
        <v>1048</v>
      </c>
      <c r="G10" s="13" t="s">
        <v>1049</v>
      </c>
      <c r="H10" s="6" t="s">
        <v>1050</v>
      </c>
      <c r="I10" s="6" t="s">
        <v>1051</v>
      </c>
      <c r="J10" s="6" t="s">
        <v>1052</v>
      </c>
    </row>
    <row r="11" spans="1:10" ht="135" customHeight="1">
      <c r="A11" s="5" t="s">
        <v>1053</v>
      </c>
      <c r="B11" s="6" t="s">
        <v>1054</v>
      </c>
      <c r="C11" s="6" t="s">
        <v>1055</v>
      </c>
      <c r="D11" s="5" t="s">
        <v>1056</v>
      </c>
      <c r="E11" s="5" t="s">
        <v>269</v>
      </c>
      <c r="F11" s="6" t="s">
        <v>1057</v>
      </c>
      <c r="G11" s="13" t="s">
        <v>1058</v>
      </c>
      <c r="H11" s="6" t="s">
        <v>1059</v>
      </c>
      <c r="I11" s="6" t="s">
        <v>1060</v>
      </c>
      <c r="J11" s="6" t="s">
        <v>176</v>
      </c>
    </row>
    <row r="12" spans="1:10" ht="135" customHeight="1">
      <c r="A12" s="5" t="s">
        <v>1061</v>
      </c>
      <c r="B12" s="6" t="s">
        <v>1062</v>
      </c>
      <c r="C12" s="6" t="s">
        <v>1063</v>
      </c>
      <c r="D12" s="5" t="s">
        <v>1064</v>
      </c>
      <c r="E12" s="5" t="s">
        <v>269</v>
      </c>
      <c r="F12" s="6" t="s">
        <v>1065</v>
      </c>
      <c r="G12" s="13" t="s">
        <v>1066</v>
      </c>
      <c r="H12" s="6" t="s">
        <v>1067</v>
      </c>
      <c r="I12" s="6" t="s">
        <v>1068</v>
      </c>
      <c r="J12" s="6" t="s">
        <v>323</v>
      </c>
    </row>
    <row r="13" spans="1:10" ht="135" customHeight="1">
      <c r="A13" s="5" t="s">
        <v>1069</v>
      </c>
      <c r="B13" s="6" t="s">
        <v>1070</v>
      </c>
      <c r="C13" s="6" t="s">
        <v>1071</v>
      </c>
      <c r="D13" s="5" t="s">
        <v>1072</v>
      </c>
      <c r="E13" s="5" t="s">
        <v>902</v>
      </c>
      <c r="F13" s="6" t="s">
        <v>1073</v>
      </c>
      <c r="G13" s="13" t="s">
        <v>1074</v>
      </c>
      <c r="H13" s="6" t="s">
        <v>1075</v>
      </c>
      <c r="I13" s="6" t="s">
        <v>1076</v>
      </c>
      <c r="J13" s="6" t="s">
        <v>930</v>
      </c>
    </row>
    <row r="14" spans="1:10" ht="135" customHeight="1">
      <c r="A14" s="5" t="s">
        <v>1077</v>
      </c>
      <c r="B14" s="6" t="s">
        <v>1078</v>
      </c>
      <c r="C14" s="6" t="s">
        <v>1079</v>
      </c>
      <c r="D14" s="5" t="s">
        <v>1030</v>
      </c>
      <c r="E14" s="5" t="s">
        <v>902</v>
      </c>
      <c r="F14" s="6" t="s">
        <v>121</v>
      </c>
      <c r="G14" s="13" t="s">
        <v>1080</v>
      </c>
      <c r="H14" s="6" t="s">
        <v>1081</v>
      </c>
      <c r="I14" s="6" t="s">
        <v>1082</v>
      </c>
      <c r="J14" s="6" t="s">
        <v>1083</v>
      </c>
    </row>
    <row r="15" spans="1:10" ht="135" customHeight="1">
      <c r="A15" s="5" t="s">
        <v>1084</v>
      </c>
      <c r="B15" s="6" t="s">
        <v>1085</v>
      </c>
      <c r="C15" s="6" t="s">
        <v>1086</v>
      </c>
      <c r="D15" s="5" t="s">
        <v>1087</v>
      </c>
      <c r="E15" s="5" t="s">
        <v>902</v>
      </c>
      <c r="F15" s="6" t="s">
        <v>1088</v>
      </c>
      <c r="G15" s="13" t="s">
        <v>1089</v>
      </c>
      <c r="H15" s="6" t="s">
        <v>1090</v>
      </c>
      <c r="I15" s="6" t="s">
        <v>1091</v>
      </c>
      <c r="J15" s="6" t="s">
        <v>1092</v>
      </c>
    </row>
    <row r="16" spans="1:10" ht="135" customHeight="1">
      <c r="A16" s="5" t="s">
        <v>1093</v>
      </c>
      <c r="B16" s="6" t="s">
        <v>1094</v>
      </c>
      <c r="C16" s="6" t="s">
        <v>1095</v>
      </c>
      <c r="D16" s="5" t="s">
        <v>1096</v>
      </c>
      <c r="E16" s="5" t="s">
        <v>888</v>
      </c>
      <c r="F16" s="6" t="s">
        <v>1097</v>
      </c>
      <c r="G16" s="13" t="s">
        <v>1098</v>
      </c>
      <c r="H16" s="6" t="s">
        <v>1099</v>
      </c>
      <c r="I16" s="6" t="s">
        <v>1100</v>
      </c>
      <c r="J16" s="6" t="s">
        <v>249</v>
      </c>
    </row>
    <row r="17" spans="1:10" ht="135" customHeight="1">
      <c r="A17" s="5" t="s">
        <v>1101</v>
      </c>
      <c r="B17" s="6" t="s">
        <v>1102</v>
      </c>
      <c r="C17" s="6" t="s">
        <v>1103</v>
      </c>
      <c r="D17" s="5" t="s">
        <v>1030</v>
      </c>
      <c r="E17" s="5" t="s">
        <v>269</v>
      </c>
      <c r="F17" s="6" t="s">
        <v>1104</v>
      </c>
      <c r="G17" s="13" t="s">
        <v>1105</v>
      </c>
      <c r="H17" s="6" t="s">
        <v>1106</v>
      </c>
      <c r="I17" s="6" t="s">
        <v>1107</v>
      </c>
      <c r="J17" s="6" t="s">
        <v>288</v>
      </c>
    </row>
    <row r="18" spans="1:10" ht="135" customHeight="1">
      <c r="A18" s="5" t="s">
        <v>1108</v>
      </c>
      <c r="B18" s="6" t="s">
        <v>1109</v>
      </c>
      <c r="C18" s="6" t="s">
        <v>1110</v>
      </c>
      <c r="D18" s="5" t="s">
        <v>1111</v>
      </c>
      <c r="E18" s="5" t="s">
        <v>1005</v>
      </c>
      <c r="F18" s="6" t="s">
        <v>1112</v>
      </c>
      <c r="G18" s="13" t="s">
        <v>1113</v>
      </c>
      <c r="H18" s="6" t="s">
        <v>1114</v>
      </c>
      <c r="I18" s="6" t="s">
        <v>1115</v>
      </c>
      <c r="J18" s="6" t="s">
        <v>812</v>
      </c>
    </row>
    <row r="19" spans="1:10" ht="135" customHeight="1">
      <c r="A19" s="5" t="s">
        <v>1116</v>
      </c>
      <c r="B19" s="6" t="s">
        <v>1117</v>
      </c>
      <c r="C19" s="6" t="s">
        <v>1118</v>
      </c>
      <c r="D19" s="5" t="s">
        <v>1119</v>
      </c>
      <c r="E19" s="5" t="s">
        <v>269</v>
      </c>
      <c r="F19" s="6" t="s">
        <v>1120</v>
      </c>
      <c r="G19" s="13" t="s">
        <v>1121</v>
      </c>
      <c r="H19" s="6" t="s">
        <v>1122</v>
      </c>
      <c r="I19" s="6" t="s">
        <v>1123</v>
      </c>
      <c r="J19" s="6" t="s">
        <v>1124</v>
      </c>
    </row>
    <row r="20" spans="1:10" ht="135" customHeight="1">
      <c r="A20" s="5" t="s">
        <v>1125</v>
      </c>
      <c r="B20" s="6" t="s">
        <v>1126</v>
      </c>
      <c r="C20" s="6" t="s">
        <v>1127</v>
      </c>
      <c r="D20" s="5" t="s">
        <v>1128</v>
      </c>
      <c r="E20" s="5" t="s">
        <v>269</v>
      </c>
      <c r="F20" s="6" t="s">
        <v>1129</v>
      </c>
      <c r="G20" s="13" t="s">
        <v>1130</v>
      </c>
      <c r="H20" s="6" t="s">
        <v>1131</v>
      </c>
      <c r="I20" s="6" t="s">
        <v>1132</v>
      </c>
      <c r="J20" s="6" t="s">
        <v>630</v>
      </c>
    </row>
    <row r="21" spans="1:10" ht="135" customHeight="1">
      <c r="A21" s="5" t="s">
        <v>1133</v>
      </c>
      <c r="B21" s="6" t="s">
        <v>963</v>
      </c>
      <c r="C21" s="6" t="s">
        <v>1134</v>
      </c>
      <c r="D21" s="5" t="s">
        <v>1135</v>
      </c>
      <c r="E21" s="5" t="s">
        <v>269</v>
      </c>
      <c r="F21" s="6" t="s">
        <v>1136</v>
      </c>
      <c r="G21" s="13" t="s">
        <v>1137</v>
      </c>
      <c r="H21" s="6" t="s">
        <v>1138</v>
      </c>
      <c r="I21" s="6" t="s">
        <v>1139</v>
      </c>
      <c r="J21" s="6" t="s">
        <v>639</v>
      </c>
    </row>
    <row r="22" spans="1:10" ht="135" customHeight="1">
      <c r="A22" s="5" t="s">
        <v>1140</v>
      </c>
      <c r="B22" s="6" t="s">
        <v>922</v>
      </c>
      <c r="C22" s="6" t="s">
        <v>1141</v>
      </c>
      <c r="D22" s="5" t="s">
        <v>1142</v>
      </c>
      <c r="E22" s="5" t="s">
        <v>269</v>
      </c>
      <c r="F22" s="6" t="s">
        <v>1143</v>
      </c>
      <c r="G22" s="13" t="s">
        <v>1144</v>
      </c>
      <c r="H22" s="6" t="s">
        <v>1145</v>
      </c>
      <c r="I22" s="6" t="s">
        <v>1146</v>
      </c>
      <c r="J22" s="6" t="s">
        <v>1147</v>
      </c>
    </row>
    <row r="23" spans="1:10" ht="135" customHeight="1">
      <c r="A23" s="5" t="s">
        <v>1148</v>
      </c>
      <c r="B23" s="6" t="s">
        <v>1149</v>
      </c>
      <c r="C23" s="6" t="s">
        <v>1150</v>
      </c>
      <c r="D23" s="5" t="s">
        <v>1151</v>
      </c>
      <c r="E23" s="5" t="s">
        <v>269</v>
      </c>
      <c r="F23" s="6" t="s">
        <v>1152</v>
      </c>
      <c r="G23" s="13" t="s">
        <v>1153</v>
      </c>
      <c r="H23" s="6" t="s">
        <v>1154</v>
      </c>
      <c r="I23" s="6" t="s">
        <v>1155</v>
      </c>
      <c r="J23" s="6" t="s">
        <v>669</v>
      </c>
    </row>
    <row r="24" spans="1:10" ht="135" customHeight="1">
      <c r="A24" s="5" t="s">
        <v>1156</v>
      </c>
      <c r="B24" s="6" t="s">
        <v>973</v>
      </c>
      <c r="C24" s="6" t="s">
        <v>1157</v>
      </c>
      <c r="D24" s="5" t="s">
        <v>1014</v>
      </c>
      <c r="E24" s="5" t="s">
        <v>269</v>
      </c>
      <c r="F24" s="6" t="s">
        <v>683</v>
      </c>
      <c r="G24" s="13" t="s">
        <v>1158</v>
      </c>
      <c r="H24" s="6" t="s">
        <v>1159</v>
      </c>
      <c r="I24" s="6" t="s">
        <v>1160</v>
      </c>
      <c r="J24" s="6" t="s">
        <v>685</v>
      </c>
    </row>
    <row r="25" spans="1:10" ht="135" customHeight="1">
      <c r="A25" s="5" t="s">
        <v>1161</v>
      </c>
      <c r="B25" s="6" t="s">
        <v>1162</v>
      </c>
      <c r="C25" s="6" t="s">
        <v>1163</v>
      </c>
      <c r="D25" s="5" t="s">
        <v>1164</v>
      </c>
      <c r="E25" s="5" t="s">
        <v>269</v>
      </c>
      <c r="F25" s="6" t="s">
        <v>1165</v>
      </c>
      <c r="G25" s="13" t="s">
        <v>1166</v>
      </c>
      <c r="H25" s="6" t="s">
        <v>1167</v>
      </c>
      <c r="I25" s="6" t="s">
        <v>1168</v>
      </c>
      <c r="J25" s="6" t="s">
        <v>1169</v>
      </c>
    </row>
    <row r="26" spans="1:10" ht="135" customHeight="1">
      <c r="A26" s="5" t="s">
        <v>1170</v>
      </c>
      <c r="B26" s="6" t="s">
        <v>1171</v>
      </c>
      <c r="C26" s="6" t="s">
        <v>1172</v>
      </c>
      <c r="D26" s="5" t="s">
        <v>1173</v>
      </c>
      <c r="E26" s="5" t="s">
        <v>269</v>
      </c>
      <c r="F26" s="6" t="s">
        <v>1174</v>
      </c>
      <c r="G26" s="13" t="s">
        <v>1175</v>
      </c>
      <c r="H26" s="6" t="s">
        <v>1176</v>
      </c>
      <c r="I26" s="6" t="s">
        <v>1177</v>
      </c>
      <c r="J26" s="6" t="s">
        <v>1178</v>
      </c>
    </row>
  </sheetData>
  <autoFilter ref="A4:J26"/>
  <mergeCells count="2">
    <mergeCell ref="A1:J1"/>
    <mergeCell ref="A2:J2"/>
  </mergeCells>
  <conditionalFormatting sqref="E5:E26">
    <cfRule type="containsText" dxfId="4" priority="1" operator="containsText" text="Đã có">
      <formula>NOT(ISERROR(SEARCH("Đã có",E5)))</formula>
    </cfRule>
    <cfRule type="containsText" dxfId="2" priority="2" operator="containsText" text="Một phần">
      <formula>NOT(ISERROR(SEARCH("Một phần",E5)))</formula>
    </cfRule>
    <cfRule type="containsText" dxfId="2" priority="3" operator="containsText" text="Mock">
      <formula>NOT(ISERROR(SEARCH("Mock",E5)))</formula>
    </cfRule>
    <cfRule type="containsText" dxfId="1" priority="4" operator="containsText" text="Chưa có">
      <formula>NOT(ISERROR(SEARCH("Chưa có",E5)))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10.7109375" customWidth="1"/>
    <col min="3" max="3" width="27.7109375" customWidth="1"/>
    <col min="4" max="4" width="44.7109375" customWidth="1"/>
    <col min="5" max="5" width="24.7109375" customWidth="1"/>
    <col min="6" max="6" width="22.7109375" customWidth="1"/>
    <col min="7" max="7" width="38.7109375" customWidth="1"/>
    <col min="8" max="8" width="10.7109375" customWidth="1"/>
    <col min="9" max="9" width="18.7109375" customWidth="1"/>
    <col min="10" max="10" width="14.7109375" customWidth="1"/>
    <col min="11" max="11" width="26.7109375" customWidth="1"/>
  </cols>
  <sheetData>
    <row r="1" spans="1:11" ht="30" customHeight="1">
      <c r="A1" s="1" t="s">
        <v>1179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6" customHeight="1">
      <c r="A2" s="2" t="s">
        <v>1180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42" customHeight="1">
      <c r="A4" s="3" t="s">
        <v>1181</v>
      </c>
      <c r="B4" s="3" t="s">
        <v>1182</v>
      </c>
      <c r="C4" s="3" t="s">
        <v>1183</v>
      </c>
      <c r="D4" s="3" t="s">
        <v>1184</v>
      </c>
      <c r="E4" s="3" t="s">
        <v>1185</v>
      </c>
      <c r="F4" s="3" t="s">
        <v>996</v>
      </c>
      <c r="G4" s="3" t="s">
        <v>1186</v>
      </c>
      <c r="H4" s="3" t="s">
        <v>10</v>
      </c>
      <c r="I4" s="3" t="s">
        <v>1187</v>
      </c>
      <c r="J4" s="3" t="s">
        <v>1188</v>
      </c>
      <c r="K4" s="3" t="s">
        <v>18</v>
      </c>
    </row>
    <row r="5" spans="1:11" ht="65" customHeight="1">
      <c r="A5" s="4" t="b">
        <v>0</v>
      </c>
      <c r="B5" s="5" t="s">
        <v>1189</v>
      </c>
      <c r="C5" s="6" t="s">
        <v>1190</v>
      </c>
      <c r="D5" s="6" t="s">
        <v>1191</v>
      </c>
      <c r="E5" s="5" t="s">
        <v>1192</v>
      </c>
      <c r="F5" s="5" t="s">
        <v>1193</v>
      </c>
      <c r="G5" s="6" t="s">
        <v>1194</v>
      </c>
      <c r="H5" s="5" t="s">
        <v>26</v>
      </c>
      <c r="I5" s="6"/>
      <c r="J5" s="5"/>
      <c r="K5" s="6"/>
    </row>
    <row r="6" spans="1:11" ht="65" customHeight="1">
      <c r="A6" s="4" t="b">
        <v>0</v>
      </c>
      <c r="B6" s="5" t="s">
        <v>1195</v>
      </c>
      <c r="C6" s="6" t="s">
        <v>1196</v>
      </c>
      <c r="D6" s="6" t="s">
        <v>1197</v>
      </c>
      <c r="E6" s="5" t="s">
        <v>1198</v>
      </c>
      <c r="F6" s="5" t="s">
        <v>1199</v>
      </c>
      <c r="G6" s="6" t="s">
        <v>1200</v>
      </c>
      <c r="H6" s="5" t="s">
        <v>26</v>
      </c>
      <c r="I6" s="6"/>
      <c r="J6" s="5"/>
      <c r="K6" s="6"/>
    </row>
    <row r="7" spans="1:11" ht="65" customHeight="1">
      <c r="A7" s="4" t="b">
        <v>0</v>
      </c>
      <c r="B7" s="5" t="s">
        <v>219</v>
      </c>
      <c r="C7" s="6" t="s">
        <v>1201</v>
      </c>
      <c r="D7" s="6" t="s">
        <v>1202</v>
      </c>
      <c r="E7" s="5" t="s">
        <v>1203</v>
      </c>
      <c r="F7" s="5" t="s">
        <v>1204</v>
      </c>
      <c r="G7" s="6" t="s">
        <v>1205</v>
      </c>
      <c r="H7" s="5" t="s">
        <v>26</v>
      </c>
      <c r="I7" s="6"/>
      <c r="J7" s="5"/>
      <c r="K7" s="6"/>
    </row>
    <row r="8" spans="1:11" ht="65" customHeight="1">
      <c r="A8" s="4" t="b">
        <v>0</v>
      </c>
      <c r="B8" s="5" t="s">
        <v>312</v>
      </c>
      <c r="C8" s="6" t="s">
        <v>1206</v>
      </c>
      <c r="D8" s="6" t="s">
        <v>1207</v>
      </c>
      <c r="E8" s="5" t="s">
        <v>1208</v>
      </c>
      <c r="F8" s="5" t="s">
        <v>269</v>
      </c>
      <c r="G8" s="6" t="s">
        <v>1209</v>
      </c>
      <c r="H8" s="5" t="s">
        <v>26</v>
      </c>
      <c r="I8" s="6"/>
      <c r="J8" s="5"/>
      <c r="K8" s="6"/>
    </row>
    <row r="9" spans="1:11" ht="65" customHeight="1">
      <c r="A9" s="4" t="b">
        <v>0</v>
      </c>
      <c r="B9" s="5" t="s">
        <v>1210</v>
      </c>
      <c r="C9" s="6" t="s">
        <v>1211</v>
      </c>
      <c r="D9" s="6" t="s">
        <v>1212</v>
      </c>
      <c r="E9" s="5" t="s">
        <v>1213</v>
      </c>
      <c r="F9" s="5" t="s">
        <v>1214</v>
      </c>
      <c r="G9" s="6" t="s">
        <v>1215</v>
      </c>
      <c r="H9" s="5" t="s">
        <v>26</v>
      </c>
      <c r="I9" s="6"/>
      <c r="J9" s="5"/>
      <c r="K9" s="6"/>
    </row>
    <row r="10" spans="1:11" ht="65" customHeight="1">
      <c r="A10" s="4" t="b">
        <v>0</v>
      </c>
      <c r="B10" s="5" t="s">
        <v>1216</v>
      </c>
      <c r="C10" s="6" t="s">
        <v>1217</v>
      </c>
      <c r="D10" s="6" t="s">
        <v>1218</v>
      </c>
      <c r="E10" s="5" t="s">
        <v>390</v>
      </c>
      <c r="F10" s="5" t="s">
        <v>269</v>
      </c>
      <c r="G10" s="6" t="s">
        <v>1219</v>
      </c>
      <c r="H10" s="5" t="s">
        <v>26</v>
      </c>
      <c r="I10" s="6"/>
      <c r="J10" s="5"/>
      <c r="K10" s="6"/>
    </row>
    <row r="11" spans="1:11" ht="65" customHeight="1">
      <c r="A11" s="4" t="b">
        <v>0</v>
      </c>
      <c r="B11" s="5" t="s">
        <v>1220</v>
      </c>
      <c r="C11" s="6" t="s">
        <v>1221</v>
      </c>
      <c r="D11" s="6" t="s">
        <v>1222</v>
      </c>
      <c r="E11" s="5" t="s">
        <v>1223</v>
      </c>
      <c r="F11" s="5" t="s">
        <v>269</v>
      </c>
      <c r="G11" s="6" t="s">
        <v>1224</v>
      </c>
      <c r="H11" s="5" t="s">
        <v>26</v>
      </c>
      <c r="I11" s="6"/>
      <c r="J11" s="5"/>
      <c r="K11" s="6"/>
    </row>
    <row r="12" spans="1:11" ht="65" customHeight="1">
      <c r="A12" s="4" t="b">
        <v>0</v>
      </c>
      <c r="B12" s="5" t="s">
        <v>1225</v>
      </c>
      <c r="C12" s="6" t="s">
        <v>1226</v>
      </c>
      <c r="D12" s="6" t="s">
        <v>1227</v>
      </c>
      <c r="E12" s="5" t="s">
        <v>1228</v>
      </c>
      <c r="F12" s="5" t="s">
        <v>269</v>
      </c>
      <c r="G12" s="6" t="s">
        <v>1229</v>
      </c>
      <c r="H12" s="5" t="s">
        <v>26</v>
      </c>
      <c r="I12" s="6"/>
      <c r="J12" s="5"/>
      <c r="K12" s="6"/>
    </row>
    <row r="13" spans="1:11" ht="65" customHeight="1">
      <c r="A13" s="4" t="b">
        <v>0</v>
      </c>
      <c r="B13" s="5" t="s">
        <v>1230</v>
      </c>
      <c r="C13" s="6" t="s">
        <v>1231</v>
      </c>
      <c r="D13" s="6" t="s">
        <v>1232</v>
      </c>
      <c r="E13" s="5" t="s">
        <v>1233</v>
      </c>
      <c r="F13" s="5" t="s">
        <v>269</v>
      </c>
      <c r="G13" s="6" t="s">
        <v>1234</v>
      </c>
      <c r="H13" s="5" t="s">
        <v>164</v>
      </c>
      <c r="I13" s="6"/>
      <c r="J13" s="5"/>
      <c r="K13" s="6"/>
    </row>
    <row r="14" spans="1:11" ht="65" customHeight="1">
      <c r="A14" s="4" t="b">
        <v>0</v>
      </c>
      <c r="B14" s="5" t="s">
        <v>1235</v>
      </c>
      <c r="C14" s="6" t="s">
        <v>1236</v>
      </c>
      <c r="D14" s="6" t="s">
        <v>1237</v>
      </c>
      <c r="E14" s="5" t="s">
        <v>1238</v>
      </c>
      <c r="F14" s="5" t="s">
        <v>1239</v>
      </c>
      <c r="G14" s="6" t="s">
        <v>1240</v>
      </c>
      <c r="H14" s="5" t="s">
        <v>26</v>
      </c>
      <c r="I14" s="6"/>
      <c r="J14" s="5"/>
      <c r="K14" s="6"/>
    </row>
    <row r="15" spans="1:11" ht="65" customHeight="1">
      <c r="A15" s="4" t="b">
        <v>0</v>
      </c>
      <c r="B15" s="5" t="s">
        <v>1241</v>
      </c>
      <c r="C15" s="6" t="s">
        <v>1242</v>
      </c>
      <c r="D15" s="6" t="s">
        <v>1243</v>
      </c>
      <c r="E15" s="5" t="s">
        <v>1244</v>
      </c>
      <c r="F15" s="5" t="s">
        <v>269</v>
      </c>
      <c r="G15" s="6" t="s">
        <v>1245</v>
      </c>
      <c r="H15" s="5" t="s">
        <v>164</v>
      </c>
      <c r="I15" s="6"/>
      <c r="J15" s="5"/>
      <c r="K15" s="6"/>
    </row>
    <row r="16" spans="1:11" ht="65" customHeight="1">
      <c r="A16" s="4" t="b">
        <v>0</v>
      </c>
      <c r="B16" s="5" t="s">
        <v>1246</v>
      </c>
      <c r="C16" s="6" t="s">
        <v>1247</v>
      </c>
      <c r="D16" s="6" t="s">
        <v>1248</v>
      </c>
      <c r="E16" s="5" t="s">
        <v>1249</v>
      </c>
      <c r="F16" s="5" t="s">
        <v>888</v>
      </c>
      <c r="G16" s="6" t="s">
        <v>1250</v>
      </c>
      <c r="H16" s="5" t="s">
        <v>26</v>
      </c>
      <c r="I16" s="6"/>
      <c r="J16" s="5"/>
      <c r="K16" s="6"/>
    </row>
    <row r="17" spans="1:11" ht="65" customHeight="1">
      <c r="A17" s="4" t="b">
        <v>0</v>
      </c>
      <c r="B17" s="5" t="s">
        <v>1251</v>
      </c>
      <c r="C17" s="6" t="s">
        <v>1252</v>
      </c>
      <c r="D17" s="6" t="s">
        <v>1253</v>
      </c>
      <c r="E17" s="5" t="s">
        <v>1254</v>
      </c>
      <c r="F17" s="5" t="s">
        <v>1193</v>
      </c>
      <c r="G17" s="6" t="s">
        <v>1255</v>
      </c>
      <c r="H17" s="5" t="s">
        <v>26</v>
      </c>
      <c r="I17" s="6"/>
      <c r="J17" s="5"/>
      <c r="K17" s="6"/>
    </row>
    <row r="18" spans="1:11" ht="65" customHeight="1">
      <c r="A18" s="4" t="b">
        <v>0</v>
      </c>
      <c r="B18" s="5" t="s">
        <v>1256</v>
      </c>
      <c r="C18" s="6" t="s">
        <v>1257</v>
      </c>
      <c r="D18" s="6" t="s">
        <v>1258</v>
      </c>
      <c r="E18" s="5" t="s">
        <v>1259</v>
      </c>
      <c r="F18" s="5" t="s">
        <v>1193</v>
      </c>
      <c r="G18" s="6" t="s">
        <v>1260</v>
      </c>
      <c r="H18" s="5" t="s">
        <v>26</v>
      </c>
      <c r="I18" s="6"/>
      <c r="J18" s="5"/>
      <c r="K18" s="6"/>
    </row>
    <row r="19" spans="1:11" ht="65" customHeight="1">
      <c r="A19" s="4" t="b">
        <v>0</v>
      </c>
      <c r="B19" s="5" t="s">
        <v>1261</v>
      </c>
      <c r="C19" s="6" t="s">
        <v>1262</v>
      </c>
      <c r="D19" s="6" t="s">
        <v>1263</v>
      </c>
      <c r="E19" s="5" t="s">
        <v>1264</v>
      </c>
      <c r="F19" s="5" t="s">
        <v>1193</v>
      </c>
      <c r="G19" s="6" t="s">
        <v>1265</v>
      </c>
      <c r="H19" s="5" t="s">
        <v>26</v>
      </c>
      <c r="I19" s="6"/>
      <c r="J19" s="5"/>
      <c r="K19" s="6"/>
    </row>
    <row r="20" spans="1:11" ht="65" customHeight="1">
      <c r="A20" s="4" t="b">
        <v>0</v>
      </c>
      <c r="B20" s="5" t="s">
        <v>1266</v>
      </c>
      <c r="C20" s="6" t="s">
        <v>1267</v>
      </c>
      <c r="D20" s="6" t="s">
        <v>1268</v>
      </c>
      <c r="E20" s="5" t="s">
        <v>1269</v>
      </c>
      <c r="F20" s="5" t="s">
        <v>1193</v>
      </c>
      <c r="G20" s="6" t="s">
        <v>1270</v>
      </c>
      <c r="H20" s="5" t="s">
        <v>26</v>
      </c>
      <c r="I20" s="6"/>
      <c r="J20" s="5"/>
      <c r="K20" s="6"/>
    </row>
    <row r="21" spans="1:11" ht="65" customHeight="1">
      <c r="A21" s="4" t="b">
        <v>0</v>
      </c>
      <c r="B21" s="5" t="s">
        <v>1271</v>
      </c>
      <c r="C21" s="6" t="s">
        <v>1272</v>
      </c>
      <c r="D21" s="6" t="s">
        <v>1273</v>
      </c>
      <c r="E21" s="5" t="s">
        <v>1274</v>
      </c>
      <c r="F21" s="5" t="s">
        <v>1193</v>
      </c>
      <c r="G21" s="6" t="s">
        <v>1275</v>
      </c>
      <c r="H21" s="5" t="s">
        <v>26</v>
      </c>
      <c r="I21" s="6"/>
      <c r="J21" s="5"/>
      <c r="K21" s="6"/>
    </row>
  </sheetData>
  <autoFilter ref="A4:K21"/>
  <mergeCells count="2">
    <mergeCell ref="A1:K1"/>
    <mergeCell ref="A2:K2"/>
  </mergeCells>
  <conditionalFormatting sqref="A5:K21">
    <cfRule type="expression" dxfId="0" priority="1">
      <formula>$A5=TRUE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5.7109375" customWidth="1"/>
    <col min="3" max="5" width="48.7109375" customWidth="1"/>
  </cols>
  <sheetData>
    <row r="1" spans="1:5" ht="30" customHeight="1">
      <c r="A1" s="1" t="s">
        <v>1276</v>
      </c>
      <c r="B1" s="1"/>
      <c r="C1" s="1"/>
      <c r="D1" s="1"/>
      <c r="E1" s="1"/>
    </row>
    <row r="2" spans="1:5" ht="36" customHeight="1">
      <c r="A2" s="2" t="s">
        <v>1277</v>
      </c>
      <c r="B2" s="2"/>
      <c r="C2" s="2"/>
      <c r="D2" s="2"/>
      <c r="E2" s="2"/>
    </row>
    <row r="4" spans="1:5" ht="42" customHeight="1">
      <c r="A4" s="3" t="s">
        <v>1278</v>
      </c>
      <c r="B4" s="3" t="s">
        <v>1279</v>
      </c>
      <c r="C4" s="3" t="s">
        <v>1280</v>
      </c>
      <c r="D4" s="3" t="s">
        <v>1281</v>
      </c>
      <c r="E4" s="3" t="s">
        <v>1282</v>
      </c>
    </row>
    <row r="5" spans="1:5" ht="75" customHeight="1">
      <c r="A5" s="5" t="s">
        <v>1283</v>
      </c>
      <c r="B5" s="6" t="s">
        <v>1284</v>
      </c>
      <c r="C5" s="6" t="s">
        <v>1285</v>
      </c>
      <c r="D5" s="6" t="s">
        <v>1286</v>
      </c>
      <c r="E5" s="6" t="s">
        <v>1287</v>
      </c>
    </row>
    <row r="6" spans="1:5" ht="75" customHeight="1">
      <c r="A6" s="5" t="s">
        <v>1288</v>
      </c>
      <c r="B6" s="6" t="s">
        <v>1289</v>
      </c>
      <c r="C6" s="6" t="s">
        <v>1290</v>
      </c>
      <c r="D6" s="6" t="s">
        <v>1291</v>
      </c>
      <c r="E6" s="6" t="s">
        <v>1292</v>
      </c>
    </row>
    <row r="7" spans="1:5" ht="75" customHeight="1">
      <c r="A7" s="5" t="s">
        <v>1293</v>
      </c>
      <c r="B7" s="6" t="s">
        <v>1294</v>
      </c>
      <c r="C7" s="6" t="s">
        <v>1295</v>
      </c>
      <c r="D7" s="6" t="s">
        <v>1296</v>
      </c>
      <c r="E7" s="6" t="s">
        <v>1297</v>
      </c>
    </row>
    <row r="8" spans="1:5" ht="75" customHeight="1">
      <c r="A8" s="5" t="s">
        <v>1298</v>
      </c>
      <c r="B8" s="6" t="s">
        <v>1299</v>
      </c>
      <c r="C8" s="6" t="s">
        <v>1300</v>
      </c>
      <c r="D8" s="6" t="s">
        <v>1301</v>
      </c>
      <c r="E8" s="6" t="s">
        <v>1302</v>
      </c>
    </row>
    <row r="9" spans="1:5" ht="75" customHeight="1">
      <c r="A9" s="5" t="s">
        <v>1303</v>
      </c>
      <c r="B9" s="6" t="s">
        <v>1304</v>
      </c>
      <c r="C9" s="6" t="s">
        <v>1305</v>
      </c>
      <c r="D9" s="6" t="s">
        <v>1306</v>
      </c>
      <c r="E9" s="6" t="s">
        <v>1307</v>
      </c>
    </row>
    <row r="10" spans="1:5" ht="75" customHeight="1">
      <c r="A10" s="5" t="s">
        <v>1308</v>
      </c>
      <c r="B10" s="6" t="s">
        <v>1309</v>
      </c>
      <c r="C10" s="6" t="s">
        <v>1310</v>
      </c>
      <c r="D10" s="6" t="s">
        <v>1311</v>
      </c>
      <c r="E10" s="6" t="s">
        <v>1312</v>
      </c>
    </row>
    <row r="11" spans="1:5" ht="75" customHeight="1">
      <c r="A11" s="5" t="s">
        <v>1313</v>
      </c>
      <c r="B11" s="6" t="s">
        <v>1314</v>
      </c>
      <c r="C11" s="6" t="s">
        <v>1315</v>
      </c>
      <c r="D11" s="6" t="s">
        <v>1316</v>
      </c>
      <c r="E11" s="6" t="s">
        <v>1317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7.7109375" customWidth="1"/>
    <col min="2" max="2" width="63.7109375" customWidth="1"/>
    <col min="3" max="4" width="62.7109375" customWidth="1"/>
  </cols>
  <sheetData>
    <row r="1" spans="1:4" ht="30" customHeight="1">
      <c r="A1" s="1" t="s">
        <v>1318</v>
      </c>
      <c r="B1" s="1"/>
      <c r="C1" s="1"/>
      <c r="D1" s="1"/>
    </row>
    <row r="2" spans="1:4" ht="36" customHeight="1">
      <c r="A2" s="2" t="s">
        <v>1319</v>
      </c>
      <c r="B2" s="2"/>
      <c r="C2" s="2"/>
      <c r="D2" s="2"/>
    </row>
    <row r="4" spans="1:4" ht="42" customHeight="1">
      <c r="A4" s="3" t="s">
        <v>1320</v>
      </c>
      <c r="B4" s="3" t="s">
        <v>1321</v>
      </c>
      <c r="C4" s="3" t="s">
        <v>1322</v>
      </c>
      <c r="D4" s="3" t="s">
        <v>18</v>
      </c>
    </row>
    <row r="5" spans="1:4" ht="60" customHeight="1">
      <c r="A5" s="6" t="s">
        <v>1323</v>
      </c>
      <c r="B5" s="6" t="s">
        <v>1324</v>
      </c>
      <c r="C5" s="6" t="s">
        <v>1325</v>
      </c>
      <c r="D5" s="6" t="s">
        <v>1326</v>
      </c>
    </row>
    <row r="6" spans="1:4" ht="60" customHeight="1">
      <c r="A6" s="6" t="s">
        <v>1323</v>
      </c>
      <c r="B6" s="6" t="s">
        <v>1327</v>
      </c>
      <c r="C6" s="6" t="s">
        <v>1328</v>
      </c>
      <c r="D6" s="6" t="s">
        <v>1329</v>
      </c>
    </row>
    <row r="7" spans="1:4" ht="60" customHeight="1">
      <c r="A7" s="6" t="s">
        <v>1330</v>
      </c>
      <c r="B7" s="6" t="s">
        <v>1331</v>
      </c>
      <c r="C7" s="6" t="s">
        <v>1332</v>
      </c>
      <c r="D7" s="6" t="s">
        <v>1333</v>
      </c>
    </row>
    <row r="8" spans="1:4" ht="60" customHeight="1">
      <c r="A8" s="6" t="s">
        <v>1334</v>
      </c>
      <c r="B8" s="6" t="s">
        <v>1335</v>
      </c>
      <c r="C8" s="6" t="s">
        <v>1336</v>
      </c>
      <c r="D8" s="6" t="s">
        <v>1337</v>
      </c>
    </row>
    <row r="9" spans="1:4" ht="60" customHeight="1">
      <c r="A9" s="6" t="s">
        <v>65</v>
      </c>
      <c r="B9" s="6" t="s">
        <v>1338</v>
      </c>
      <c r="C9" s="6" t="s">
        <v>1339</v>
      </c>
      <c r="D9" s="6" t="s">
        <v>1340</v>
      </c>
    </row>
    <row r="10" spans="1:4" ht="60" customHeight="1">
      <c r="A10" s="6" t="s">
        <v>695</v>
      </c>
      <c r="B10" s="6" t="s">
        <v>1341</v>
      </c>
      <c r="C10" s="6" t="s">
        <v>1342</v>
      </c>
      <c r="D10" s="6" t="s">
        <v>1343</v>
      </c>
    </row>
    <row r="11" spans="1:4" ht="60" customHeight="1">
      <c r="A11" s="6" t="s">
        <v>1344</v>
      </c>
      <c r="B11" s="6" t="s">
        <v>1345</v>
      </c>
      <c r="C11" s="6" t="s">
        <v>1346</v>
      </c>
      <c r="D11" s="6" t="s">
        <v>1347</v>
      </c>
    </row>
    <row r="12" spans="1:4" ht="60" customHeight="1">
      <c r="A12" s="6" t="s">
        <v>1348</v>
      </c>
      <c r="B12" s="6" t="s">
        <v>1349</v>
      </c>
      <c r="C12" s="6" t="s">
        <v>1350</v>
      </c>
      <c r="D12" s="6" t="s">
        <v>1351</v>
      </c>
    </row>
    <row r="13" spans="1:4" ht="60" customHeight="1">
      <c r="A13" s="6" t="s">
        <v>79</v>
      </c>
      <c r="B13" s="6" t="s">
        <v>1352</v>
      </c>
      <c r="C13" s="6" t="s">
        <v>1353</v>
      </c>
      <c r="D13" s="6" t="s">
        <v>1354</v>
      </c>
    </row>
    <row r="14" spans="1:4" ht="60" customHeight="1">
      <c r="A14" s="6" t="s">
        <v>1355</v>
      </c>
      <c r="B14" s="6" t="s">
        <v>1356</v>
      </c>
      <c r="C14" s="6" t="s">
        <v>1357</v>
      </c>
      <c r="D14" s="6" t="s">
        <v>1358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Backlog</vt:lpstr>
      <vt:lpstr>Tổng quan</vt:lpstr>
      <vt:lpstr>Hiện trạng mã</vt:lpstr>
      <vt:lpstr>Tích hợp &amp; dữ liệu</vt:lpstr>
      <vt:lpstr>Nghiệm thu</vt:lpstr>
      <vt:lpstr>Phụ thuộc</vt:lpstr>
      <vt:lpstr>Nguồn đối chiếu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Kế hoạch đầu việc Robot Telepresence</dc:title>
  <dc:subject>Đối chiếu hai tài liệu Word với mã nguồn hiện tại</dc:subject>
  <dc:creator>MQ ICT Solutions / Codex</dc:creator>
  <dc:description>Generated from repository evidence on 2026-07-29</dc:description>
  <cp:lastModifiedBy>MQ ICT Solutions / Codex</cp:lastModifiedBy>
  <dcterms:created xsi:type="dcterms:W3CDTF">2026-07-29T09:24:42Z</dcterms:created>
  <dcterms:modified xsi:type="dcterms:W3CDTF">2026-07-29T09:24:42Z</dcterms:modified>
</cp:coreProperties>
</file>